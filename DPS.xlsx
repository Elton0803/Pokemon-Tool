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寶可夢\Pokemon_App\"/>
    </mc:Choice>
  </mc:AlternateContent>
  <xr:revisionPtr revIDLastSave="0" documentId="13_ncr:1_{E3185148-B74B-4EA2-B711-52476C9401C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3" i="1" l="1"/>
  <c r="B215" i="1"/>
  <c r="B216" i="1"/>
  <c r="B217" i="1"/>
  <c r="B214" i="1"/>
  <c r="A210" i="1"/>
  <c r="B210" i="1"/>
  <c r="C210" i="1"/>
  <c r="A211" i="1"/>
  <c r="B211" i="1"/>
  <c r="C211" i="1"/>
  <c r="A212" i="1"/>
  <c r="B212" i="1"/>
  <c r="C212" i="1"/>
  <c r="A213" i="1"/>
  <c r="C213" i="1"/>
  <c r="A214" i="1"/>
  <c r="C214" i="1"/>
  <c r="A215" i="1"/>
  <c r="C215" i="1"/>
  <c r="A216" i="1"/>
  <c r="C216" i="1"/>
  <c r="A217" i="1"/>
  <c r="C217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A153" i="1"/>
  <c r="C153" i="1"/>
  <c r="A154" i="1"/>
  <c r="C154" i="1"/>
  <c r="A155" i="1"/>
  <c r="C155" i="1"/>
  <c r="A156" i="1"/>
  <c r="C156" i="1"/>
  <c r="A157" i="1"/>
  <c r="C157" i="1"/>
  <c r="A158" i="1"/>
  <c r="C158" i="1"/>
  <c r="A159" i="1"/>
  <c r="C159" i="1"/>
  <c r="A160" i="1"/>
  <c r="C160" i="1"/>
  <c r="A161" i="1"/>
  <c r="C161" i="1"/>
  <c r="A162" i="1"/>
  <c r="C162" i="1"/>
  <c r="A163" i="1"/>
  <c r="C163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111" i="1"/>
  <c r="C111" i="1"/>
  <c r="A112" i="1"/>
  <c r="C112" i="1"/>
  <c r="A113" i="1"/>
  <c r="C113" i="1"/>
  <c r="A114" i="1"/>
  <c r="C114" i="1"/>
  <c r="A115" i="1"/>
  <c r="C115" i="1"/>
  <c r="A116" i="1"/>
  <c r="C116" i="1"/>
  <c r="A117" i="1"/>
  <c r="C117" i="1"/>
  <c r="A118" i="1"/>
  <c r="C118" i="1"/>
  <c r="A119" i="1"/>
  <c r="C119" i="1"/>
  <c r="A120" i="1"/>
  <c r="C120" i="1"/>
  <c r="A121" i="1"/>
  <c r="C121" i="1"/>
  <c r="A122" i="1"/>
  <c r="C122" i="1"/>
  <c r="A123" i="1"/>
  <c r="C123" i="1"/>
  <c r="A124" i="1"/>
  <c r="C124" i="1"/>
  <c r="A125" i="1"/>
  <c r="C125" i="1"/>
  <c r="A126" i="1"/>
  <c r="C126" i="1"/>
  <c r="A127" i="1"/>
  <c r="C127" i="1"/>
  <c r="A128" i="1"/>
  <c r="C128" i="1"/>
  <c r="A129" i="1"/>
  <c r="C129" i="1"/>
  <c r="A130" i="1"/>
  <c r="C130" i="1"/>
  <c r="A131" i="1"/>
  <c r="C131" i="1"/>
  <c r="A132" i="1"/>
  <c r="C132" i="1"/>
  <c r="A133" i="1"/>
  <c r="C133" i="1"/>
  <c r="A134" i="1"/>
  <c r="C134" i="1"/>
  <c r="A135" i="1"/>
  <c r="C135" i="1"/>
  <c r="A136" i="1"/>
  <c r="C136" i="1"/>
  <c r="A137" i="1"/>
  <c r="C137" i="1"/>
  <c r="A138" i="1"/>
  <c r="C138" i="1"/>
  <c r="A139" i="1"/>
  <c r="C139" i="1"/>
  <c r="A140" i="1"/>
  <c r="C140" i="1"/>
  <c r="A141" i="1"/>
  <c r="C141" i="1"/>
  <c r="A142" i="1"/>
  <c r="C142" i="1"/>
  <c r="A143" i="1"/>
  <c r="C143" i="1"/>
  <c r="A144" i="1"/>
  <c r="C144" i="1"/>
  <c r="A145" i="1"/>
  <c r="C145" i="1"/>
  <c r="A146" i="1"/>
  <c r="C146" i="1"/>
  <c r="A147" i="1"/>
  <c r="C147" i="1"/>
  <c r="A148" i="1"/>
  <c r="C148" i="1"/>
  <c r="A149" i="1"/>
  <c r="C149" i="1"/>
  <c r="A150" i="1"/>
  <c r="C150" i="1"/>
  <c r="A151" i="1"/>
  <c r="C151" i="1"/>
  <c r="A152" i="1"/>
  <c r="C152" i="1"/>
  <c r="C76" i="1"/>
  <c r="A7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</calcChain>
</file>

<file path=xl/sharedStrings.xml><?xml version="1.0" encoding="utf-8"?>
<sst xmlns="http://schemas.openxmlformats.org/spreadsheetml/2006/main" count="42" uniqueCount="23">
  <si>
    <t>攻/守</t>
    <phoneticPr fontId="3" type="noConversion"/>
  </si>
  <si>
    <t>一般</t>
    <phoneticPr fontId="3" type="noConversion"/>
  </si>
  <si>
    <t>火</t>
    <phoneticPr fontId="3" type="noConversion"/>
  </si>
  <si>
    <t>格鬥</t>
    <phoneticPr fontId="3" type="noConversion"/>
  </si>
  <si>
    <t>水</t>
    <phoneticPr fontId="3" type="noConversion"/>
  </si>
  <si>
    <t>飛行</t>
    <phoneticPr fontId="3" type="noConversion"/>
  </si>
  <si>
    <t>草</t>
    <phoneticPr fontId="3" type="noConversion"/>
  </si>
  <si>
    <t>毒</t>
    <phoneticPr fontId="3" type="noConversion"/>
  </si>
  <si>
    <t>電</t>
    <phoneticPr fontId="3" type="noConversion"/>
  </si>
  <si>
    <t>地面</t>
    <phoneticPr fontId="3" type="noConversion"/>
  </si>
  <si>
    <t>超能力</t>
    <phoneticPr fontId="3" type="noConversion"/>
  </si>
  <si>
    <t>岩石</t>
    <phoneticPr fontId="3" type="noConversion"/>
  </si>
  <si>
    <t>冰</t>
    <phoneticPr fontId="3" type="noConversion"/>
  </si>
  <si>
    <t>蟲</t>
    <phoneticPr fontId="3" type="noConversion"/>
  </si>
  <si>
    <t>龍</t>
    <phoneticPr fontId="3" type="noConversion"/>
  </si>
  <si>
    <t>幽靈</t>
    <phoneticPr fontId="3" type="noConversion"/>
  </si>
  <si>
    <t>惡</t>
    <phoneticPr fontId="3" type="noConversion"/>
  </si>
  <si>
    <t>鋼</t>
    <phoneticPr fontId="3" type="noConversion"/>
  </si>
  <si>
    <t>妖精</t>
    <phoneticPr fontId="3" type="noConversion"/>
  </si>
  <si>
    <t>無</t>
    <phoneticPr fontId="3" type="noConversion"/>
  </si>
  <si>
    <t>寶可夢</t>
    <phoneticPr fontId="2" type="noConversion"/>
  </si>
  <si>
    <t>屬性</t>
    <phoneticPr fontId="2" type="noConversion"/>
  </si>
  <si>
    <t>DPS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</si>
</sst>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33021;&#37327;&#40670;.xlsx" TargetMode="External"/><Relationship Id="rId2" Type="http://schemas.openxmlformats.org/officeDocument/2006/relationships/externalLinkPath" Target="file:///F:\&#23542;&#21487;&#22818;\&#33021;&#37327;&#40670;.xlsx" TargetMode="External"/><Relationship Id="rId1" Type="http://schemas.openxmlformats.org/officeDocument/2006/relationships/externalLinkPath" Target="/&#23542;&#21487;&#22818;/&#33021;&#37327;&#406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攻守數據"/>
      <sheetName val="數據"/>
      <sheetName val="屬性克制表"/>
      <sheetName val="能量點"/>
      <sheetName val="寶可夢圖鑑"/>
      <sheetName val="天氣加成"/>
    </sheetNames>
    <sheetDataSet>
      <sheetData sheetId="0"/>
      <sheetData sheetId="1"/>
      <sheetData sheetId="2">
        <row r="2">
          <cell r="AO2" t="str">
            <v>火</v>
          </cell>
          <cell r="AQ2" t="str">
            <v>Mega火焰雞</v>
          </cell>
          <cell r="AS2">
            <v>23.82</v>
          </cell>
        </row>
        <row r="3">
          <cell r="AO3" t="str">
            <v>火</v>
          </cell>
          <cell r="AQ3" t="str">
            <v>Mega噴火龍Y</v>
          </cell>
          <cell r="AS3">
            <v>22.78</v>
          </cell>
        </row>
        <row r="4">
          <cell r="AO4" t="str">
            <v>火</v>
          </cell>
          <cell r="AQ4" t="str">
            <v>暗影萊希拉姆</v>
          </cell>
          <cell r="AS4">
            <v>23.59</v>
          </cell>
        </row>
        <row r="5">
          <cell r="AO5" t="str">
            <v>火</v>
          </cell>
          <cell r="AQ5" t="str">
            <v>萊希拉姆</v>
          </cell>
          <cell r="AS5">
            <v>19.579999999999998</v>
          </cell>
        </row>
        <row r="6">
          <cell r="AO6" t="str">
            <v>火</v>
          </cell>
          <cell r="AQ6" t="str">
            <v>Mega噴火龍X</v>
          </cell>
          <cell r="AS6">
            <v>19.68</v>
          </cell>
        </row>
        <row r="7">
          <cell r="AO7" t="str">
            <v>火</v>
          </cell>
          <cell r="AQ7" t="str">
            <v>暗影火焰雞</v>
          </cell>
          <cell r="AS7">
            <v>21.88</v>
          </cell>
        </row>
        <row r="8">
          <cell r="AO8" t="str">
            <v>火</v>
          </cell>
          <cell r="AQ8" t="str">
            <v>砰頭小丑</v>
          </cell>
          <cell r="AS8">
            <v>24.81</v>
          </cell>
        </row>
        <row r="9">
          <cell r="AO9" t="str">
            <v>火</v>
          </cell>
          <cell r="AQ9" t="str">
            <v>暗影鳳王</v>
          </cell>
          <cell r="AS9">
            <v>18.52</v>
          </cell>
        </row>
        <row r="10">
          <cell r="AO10" t="str">
            <v>火</v>
          </cell>
          <cell r="AQ10" t="str">
            <v>暗影席多藍恩</v>
          </cell>
          <cell r="AS10">
            <v>20.82</v>
          </cell>
        </row>
        <row r="11">
          <cell r="AO11" t="str">
            <v>火</v>
          </cell>
          <cell r="AQ11" t="str">
            <v>席多藍恩</v>
          </cell>
          <cell r="AS11">
            <v>17.18</v>
          </cell>
        </row>
        <row r="12">
          <cell r="AO12" t="str">
            <v>火</v>
          </cell>
          <cell r="AQ12" t="str">
            <v>Mega妖火紅狐</v>
          </cell>
          <cell r="AS12">
            <v>26.43</v>
          </cell>
        </row>
        <row r="13">
          <cell r="AO13" t="str">
            <v>火</v>
          </cell>
          <cell r="AQ13" t="str">
            <v>噴火龍</v>
          </cell>
          <cell r="AS13">
            <v>16.53</v>
          </cell>
        </row>
        <row r="14">
          <cell r="AO14" t="str">
            <v>格鬥</v>
          </cell>
          <cell r="AQ14" t="str">
            <v>Mega路卡利歐</v>
          </cell>
          <cell r="AS14">
            <v>26.62</v>
          </cell>
        </row>
        <row r="15">
          <cell r="AO15" t="str">
            <v>格鬥</v>
          </cell>
          <cell r="AQ15" t="str">
            <v>Mega超夢X</v>
          </cell>
          <cell r="AS15">
            <v>29.67</v>
          </cell>
        </row>
        <row r="16">
          <cell r="AO16" t="str">
            <v>格鬥</v>
          </cell>
          <cell r="AQ16" t="str">
            <v>Mega火焰雞</v>
          </cell>
          <cell r="AS16">
            <v>25.58</v>
          </cell>
        </row>
        <row r="17">
          <cell r="AO17" t="str">
            <v>格鬥</v>
          </cell>
          <cell r="AQ17" t="str">
            <v>暗影火焰雞</v>
          </cell>
          <cell r="AS17">
            <v>23.28</v>
          </cell>
        </row>
        <row r="18">
          <cell r="AO18" t="str">
            <v>格鬥</v>
          </cell>
          <cell r="AQ18" t="str">
            <v>凱路迪歐(覺悟)</v>
          </cell>
          <cell r="AS18">
            <v>22.75</v>
          </cell>
        </row>
        <row r="19">
          <cell r="AO19" t="str">
            <v>格鬥</v>
          </cell>
          <cell r="AQ19" t="str">
            <v>Mega赫拉克羅斯</v>
          </cell>
          <cell r="AS19">
            <v>19.66</v>
          </cell>
        </row>
        <row r="20">
          <cell r="AO20" t="str">
            <v>格鬥</v>
          </cell>
          <cell r="AQ20" t="str">
            <v>代拉基翁</v>
          </cell>
          <cell r="AS20">
            <v>19.309999999999999</v>
          </cell>
        </row>
        <row r="21">
          <cell r="AO21" t="str">
            <v>格鬥</v>
          </cell>
          <cell r="AQ21" t="str">
            <v>路卡利歐</v>
          </cell>
          <cell r="AS21">
            <v>20.88</v>
          </cell>
        </row>
        <row r="22">
          <cell r="AO22" t="str">
            <v>格鬥</v>
          </cell>
          <cell r="AQ22" t="str">
            <v>Mega列陣兵</v>
          </cell>
          <cell r="AS22">
            <v>16.399999999999999</v>
          </cell>
        </row>
        <row r="23">
          <cell r="AO23" t="str">
            <v>格鬥</v>
          </cell>
          <cell r="AQ23" t="str">
            <v>怪力</v>
          </cell>
          <cell r="AS23">
            <v>16.95</v>
          </cell>
        </row>
        <row r="24">
          <cell r="AO24" t="str">
            <v>格鬥</v>
          </cell>
          <cell r="AQ24" t="str">
            <v>鐵掌力士</v>
          </cell>
          <cell r="AS24">
            <v>15.5</v>
          </cell>
        </row>
        <row r="25">
          <cell r="AO25" t="str">
            <v>格鬥</v>
          </cell>
          <cell r="AQ25" t="str">
            <v>Mega艾路雷朵</v>
          </cell>
          <cell r="AS25">
            <v>17.690000000000001</v>
          </cell>
        </row>
        <row r="26">
          <cell r="AO26" t="str">
            <v>格鬥</v>
          </cell>
          <cell r="AQ26" t="str">
            <v>勾帕路翁</v>
          </cell>
          <cell r="AS26">
            <v>14.49</v>
          </cell>
        </row>
        <row r="27">
          <cell r="AO27" t="str">
            <v>格鬥</v>
          </cell>
          <cell r="AQ27" t="str">
            <v>畢力吉翁</v>
          </cell>
          <cell r="AS27">
            <v>14.49</v>
          </cell>
        </row>
        <row r="28">
          <cell r="AO28" t="str">
            <v>格鬥</v>
          </cell>
          <cell r="AQ28" t="str">
            <v>艾路雷朵</v>
          </cell>
          <cell r="AS28">
            <v>13.34</v>
          </cell>
        </row>
        <row r="29">
          <cell r="AO29" t="str">
            <v>格鬥</v>
          </cell>
          <cell r="AQ29" t="str">
            <v>爆肌蚊</v>
          </cell>
          <cell r="AS29">
            <v>14.84</v>
          </cell>
        </row>
        <row r="30">
          <cell r="AO30" t="str">
            <v>水</v>
          </cell>
          <cell r="AQ30" t="str">
            <v>原始蓋歐卡</v>
          </cell>
          <cell r="AS30">
            <v>22.2</v>
          </cell>
        </row>
        <row r="31">
          <cell r="AO31" t="str">
            <v>水</v>
          </cell>
          <cell r="AQ31" t="str">
            <v>暗影蓋歐卡</v>
          </cell>
          <cell r="AS31">
            <v>20.88</v>
          </cell>
        </row>
        <row r="32">
          <cell r="AO32" t="str">
            <v>水</v>
          </cell>
          <cell r="AQ32" t="str">
            <v>Mega巨沼怪</v>
          </cell>
          <cell r="AS32">
            <v>19.940000000000001</v>
          </cell>
        </row>
        <row r="33">
          <cell r="AO33" t="str">
            <v>水</v>
          </cell>
          <cell r="AQ33" t="str">
            <v>Mega寶石海星</v>
          </cell>
          <cell r="AS33">
            <v>23.38</v>
          </cell>
        </row>
        <row r="34">
          <cell r="AO34" t="str">
            <v>水</v>
          </cell>
          <cell r="AQ34" t="str">
            <v>Mega甲賀忍蛙</v>
          </cell>
          <cell r="AS34">
            <v>25.55</v>
          </cell>
        </row>
        <row r="35">
          <cell r="AO35" t="str">
            <v>水</v>
          </cell>
          <cell r="AQ35" t="str">
            <v>暗影甲賀忍蛙</v>
          </cell>
          <cell r="AS35">
            <v>20.79</v>
          </cell>
        </row>
        <row r="36">
          <cell r="AO36" t="str">
            <v>水</v>
          </cell>
          <cell r="AQ36" t="str">
            <v>暗影巨鉗蟹</v>
          </cell>
          <cell r="AS36">
            <v>20.46</v>
          </cell>
        </row>
        <row r="37">
          <cell r="AO37" t="str">
            <v>水</v>
          </cell>
          <cell r="AQ37" t="str">
            <v>暗影帝王拿波</v>
          </cell>
          <cell r="AS37">
            <v>18.23</v>
          </cell>
        </row>
        <row r="38">
          <cell r="AO38" t="str">
            <v>水</v>
          </cell>
          <cell r="AQ38" t="str">
            <v>千面避役</v>
          </cell>
          <cell r="AS38">
            <v>19.23</v>
          </cell>
        </row>
        <row r="39">
          <cell r="AO39" t="str">
            <v>水</v>
          </cell>
          <cell r="AQ39" t="str">
            <v>Mega水箭龜</v>
          </cell>
          <cell r="AS39">
            <v>18.52</v>
          </cell>
        </row>
        <row r="40">
          <cell r="AO40" t="str">
            <v>水</v>
          </cell>
          <cell r="AQ40" t="str">
            <v>暗影巨沼怪</v>
          </cell>
          <cell r="AS40">
            <v>18.62</v>
          </cell>
        </row>
        <row r="41">
          <cell r="AO41" t="str">
            <v>水</v>
          </cell>
          <cell r="AQ41" t="str">
            <v>Mega暴鯉龍</v>
          </cell>
          <cell r="AS41">
            <v>17.28</v>
          </cell>
        </row>
        <row r="42">
          <cell r="AO42" t="str">
            <v>水</v>
          </cell>
          <cell r="AQ42" t="str">
            <v>蓋歐卡</v>
          </cell>
          <cell r="AS42">
            <v>17.350000000000001</v>
          </cell>
        </row>
        <row r="43">
          <cell r="AO43" t="str">
            <v>水</v>
          </cell>
          <cell r="AQ43" t="str">
            <v>狂歡浪舞鴨</v>
          </cell>
          <cell r="AS43">
            <v>17.25</v>
          </cell>
        </row>
        <row r="44">
          <cell r="AO44" t="str">
            <v>水</v>
          </cell>
          <cell r="AQ44" t="str">
            <v>西獅海壬</v>
          </cell>
          <cell r="AS44">
            <v>16.36</v>
          </cell>
        </row>
        <row r="45">
          <cell r="AO45" t="str">
            <v>水</v>
          </cell>
          <cell r="AQ45" t="str">
            <v>大劍鬼</v>
          </cell>
          <cell r="AS45">
            <v>15.41</v>
          </cell>
        </row>
        <row r="46">
          <cell r="AO46" t="str">
            <v>水</v>
          </cell>
          <cell r="AQ46" t="str">
            <v>甲賀忍蛙</v>
          </cell>
          <cell r="AS46">
            <v>17.14</v>
          </cell>
        </row>
        <row r="47">
          <cell r="AO47" t="str">
            <v>水</v>
          </cell>
          <cell r="AQ47" t="str">
            <v>巨鉗蟹</v>
          </cell>
          <cell r="AS47">
            <v>16.920000000000002</v>
          </cell>
        </row>
        <row r="48">
          <cell r="AO48" t="str">
            <v>水</v>
          </cell>
          <cell r="AQ48" t="str">
            <v>大力鱷</v>
          </cell>
          <cell r="AS48">
            <v>15.02</v>
          </cell>
        </row>
        <row r="49">
          <cell r="AO49" t="str">
            <v>水</v>
          </cell>
          <cell r="AQ49" t="str">
            <v>帝王拿波</v>
          </cell>
          <cell r="AS49">
            <v>15.01</v>
          </cell>
        </row>
        <row r="50">
          <cell r="AO50" t="str">
            <v>飛行</v>
          </cell>
          <cell r="AQ50" t="str">
            <v>Mega烈空坐</v>
          </cell>
          <cell r="AS50">
            <v>28.54</v>
          </cell>
        </row>
        <row r="51">
          <cell r="AO51" t="str">
            <v>飛行</v>
          </cell>
          <cell r="AQ51" t="str">
            <v>暗影暴飛龍</v>
          </cell>
          <cell r="AS51">
            <v>25.25</v>
          </cell>
        </row>
        <row r="52">
          <cell r="AO52" t="str">
            <v>飛行</v>
          </cell>
          <cell r="AQ52" t="str">
            <v>Mega大比鳥</v>
          </cell>
          <cell r="AS52">
            <v>20.38</v>
          </cell>
        </row>
        <row r="53">
          <cell r="AO53" t="str">
            <v>飛行</v>
          </cell>
          <cell r="AQ53" t="str">
            <v>銃嘴大鳥</v>
          </cell>
          <cell r="AS53">
            <v>18.850000000000001</v>
          </cell>
        </row>
        <row r="54">
          <cell r="AO54" t="str">
            <v>飛行</v>
          </cell>
          <cell r="AQ54" t="str">
            <v>烈空坐</v>
          </cell>
          <cell r="AS54">
            <v>22.2</v>
          </cell>
        </row>
        <row r="55">
          <cell r="AO55" t="str">
            <v>飛行</v>
          </cell>
          <cell r="AQ55" t="str">
            <v>暴飛龍</v>
          </cell>
          <cell r="AS55">
            <v>20.77</v>
          </cell>
        </row>
        <row r="56">
          <cell r="AO56" t="str">
            <v>飛行</v>
          </cell>
          <cell r="AQ56" t="str">
            <v>Mega暴飛龍</v>
          </cell>
          <cell r="AS56">
            <v>22.47</v>
          </cell>
        </row>
        <row r="57">
          <cell r="AO57" t="str">
            <v>飛行</v>
          </cell>
          <cell r="AQ57" t="str">
            <v>伊裴爾塔爾</v>
          </cell>
          <cell r="AS57">
            <v>18.07</v>
          </cell>
        </row>
        <row r="58">
          <cell r="AO58" t="str">
            <v>飛行</v>
          </cell>
          <cell r="AQ58" t="str">
            <v>洛奇亞</v>
          </cell>
          <cell r="AS58">
            <v>16.57</v>
          </cell>
        </row>
        <row r="59">
          <cell r="AO59" t="str">
            <v>草</v>
          </cell>
          <cell r="AQ59" t="str">
            <v>Mega布里卡農</v>
          </cell>
          <cell r="AS59">
            <v>21.44</v>
          </cell>
        </row>
        <row r="60">
          <cell r="AO60" t="str">
            <v>草</v>
          </cell>
          <cell r="AQ60" t="str">
            <v>Mega蜥蜴王</v>
          </cell>
          <cell r="AS60">
            <v>21.84</v>
          </cell>
        </row>
        <row r="61">
          <cell r="AO61" t="str">
            <v>草</v>
          </cell>
          <cell r="AQ61" t="str">
            <v>暗影蜥蜴王</v>
          </cell>
          <cell r="AS61">
            <v>19.09</v>
          </cell>
        </row>
        <row r="62">
          <cell r="AO62" t="str">
            <v>草</v>
          </cell>
          <cell r="AQ62" t="str">
            <v>紙御劍</v>
          </cell>
          <cell r="AS62">
            <v>20.04</v>
          </cell>
        </row>
        <row r="63">
          <cell r="AO63" t="str">
            <v>草</v>
          </cell>
          <cell r="AQ63" t="str">
            <v>Mega妙蛙花</v>
          </cell>
          <cell r="AS63">
            <v>17.899999999999999</v>
          </cell>
        </row>
        <row r="64">
          <cell r="AO64" t="str">
            <v>草</v>
          </cell>
          <cell r="AQ64" t="str">
            <v>魔幻假面喵</v>
          </cell>
          <cell r="AS64">
            <v>17.04</v>
          </cell>
        </row>
        <row r="65">
          <cell r="AO65" t="str">
            <v>草</v>
          </cell>
          <cell r="AQ65" t="str">
            <v>薩戮德</v>
          </cell>
          <cell r="AS65">
            <v>17</v>
          </cell>
        </row>
        <row r="66">
          <cell r="AO66" t="str">
            <v>草</v>
          </cell>
          <cell r="AQ66" t="str">
            <v>轟擂金剛猩</v>
          </cell>
          <cell r="AS66">
            <v>17.09</v>
          </cell>
        </row>
        <row r="67">
          <cell r="AO67" t="str">
            <v>草</v>
          </cell>
          <cell r="AQ67" t="str">
            <v>謝米</v>
          </cell>
          <cell r="AS67">
            <v>18.16</v>
          </cell>
        </row>
        <row r="68">
          <cell r="AO68" t="str">
            <v>毒</v>
          </cell>
          <cell r="AQ68" t="str">
            <v>無極汰那</v>
          </cell>
          <cell r="AS68">
            <v>18.61</v>
          </cell>
        </row>
        <row r="69">
          <cell r="AO69" t="str">
            <v>毒</v>
          </cell>
          <cell r="AQ69" t="str">
            <v>Mega耿鬼</v>
          </cell>
          <cell r="AS69">
            <v>18.29</v>
          </cell>
        </row>
        <row r="70">
          <cell r="AO70" t="str">
            <v>毒</v>
          </cell>
          <cell r="AQ70" t="str">
            <v>Mega大針鋒</v>
          </cell>
          <cell r="AS70">
            <v>20.16</v>
          </cell>
        </row>
        <row r="71">
          <cell r="AO71" t="str">
            <v>毒</v>
          </cell>
          <cell r="AQ71" t="str">
            <v>Mega大食花</v>
          </cell>
          <cell r="AS71">
            <v>21.31</v>
          </cell>
        </row>
        <row r="72">
          <cell r="AO72" t="str">
            <v>毒</v>
          </cell>
          <cell r="AQ72" t="str">
            <v>暗影妙蛙花</v>
          </cell>
          <cell r="AS72">
            <v>16.55</v>
          </cell>
        </row>
        <row r="73">
          <cell r="AO73" t="str">
            <v>毒</v>
          </cell>
          <cell r="AQ73" t="str">
            <v>Mega妙蛙花</v>
          </cell>
          <cell r="AS73">
            <v>16.16</v>
          </cell>
        </row>
        <row r="74">
          <cell r="AO74" t="str">
            <v>毒</v>
          </cell>
          <cell r="AQ74" t="str">
            <v>虛吾伊德</v>
          </cell>
          <cell r="AS74">
            <v>16.670000000000002</v>
          </cell>
        </row>
        <row r="75">
          <cell r="AO75" t="str">
            <v>毒</v>
          </cell>
          <cell r="AQ75" t="str">
            <v>四顎針龍</v>
          </cell>
          <cell r="AS75">
            <v>17.66</v>
          </cell>
        </row>
        <row r="76">
          <cell r="AO76" t="str">
            <v>毒</v>
          </cell>
          <cell r="AQ76" t="str">
            <v>萬針魚</v>
          </cell>
          <cell r="AS76">
            <v>15.11</v>
          </cell>
        </row>
        <row r="77">
          <cell r="AO77" t="str">
            <v>毒</v>
          </cell>
          <cell r="AQ77" t="str">
            <v>毒骷蛙</v>
          </cell>
          <cell r="AS77">
            <v>14.66</v>
          </cell>
        </row>
        <row r="78">
          <cell r="AO78" t="str">
            <v>電</v>
          </cell>
          <cell r="AQ78" t="str">
            <v>捷拉奧拉</v>
          </cell>
          <cell r="AS78">
            <v>20.02</v>
          </cell>
        </row>
        <row r="79">
          <cell r="AO79" t="str">
            <v>電</v>
          </cell>
          <cell r="AQ79" t="str">
            <v>Mega雷丘Y</v>
          </cell>
          <cell r="AS79">
            <v>27.27</v>
          </cell>
        </row>
        <row r="80">
          <cell r="AO80" t="str">
            <v>電</v>
          </cell>
          <cell r="AQ80" t="str">
            <v>Mega雷丘X</v>
          </cell>
          <cell r="AS80">
            <v>23.55</v>
          </cell>
        </row>
        <row r="81">
          <cell r="AO81" t="str">
            <v>電</v>
          </cell>
          <cell r="AQ81" t="str">
            <v>暗影雷公</v>
          </cell>
          <cell r="AS81">
            <v>20.05</v>
          </cell>
        </row>
        <row r="82">
          <cell r="AO82" t="str">
            <v>電</v>
          </cell>
          <cell r="AQ82" t="str">
            <v>雷電雲-靈獸形態</v>
          </cell>
          <cell r="AS82">
            <v>19.899999999999999</v>
          </cell>
        </row>
        <row r="83">
          <cell r="AO83" t="str">
            <v>電</v>
          </cell>
          <cell r="AQ83" t="str">
            <v>Mega雷電獸</v>
          </cell>
          <cell r="AS83">
            <v>19.61</v>
          </cell>
        </row>
        <row r="84">
          <cell r="AO84" t="str">
            <v>電</v>
          </cell>
          <cell r="AQ84" t="str">
            <v>Mega電龍</v>
          </cell>
          <cell r="AS84">
            <v>17.29</v>
          </cell>
        </row>
        <row r="85">
          <cell r="AO85" t="str">
            <v>電</v>
          </cell>
          <cell r="AQ85" t="str">
            <v>電擊魔獸</v>
          </cell>
          <cell r="AS85">
            <v>17.2</v>
          </cell>
        </row>
        <row r="86">
          <cell r="AO86" t="str">
            <v>電</v>
          </cell>
          <cell r="AQ86" t="str">
            <v>閃電鳥</v>
          </cell>
          <cell r="AS86">
            <v>15.91</v>
          </cell>
        </row>
        <row r="87">
          <cell r="AO87" t="str">
            <v>電</v>
          </cell>
          <cell r="AQ87" t="str">
            <v>自爆磁怪</v>
          </cell>
          <cell r="AS87">
            <v>15.81</v>
          </cell>
        </row>
        <row r="88">
          <cell r="AO88" t="str">
            <v>電</v>
          </cell>
          <cell r="AQ88" t="str">
            <v>雷吉艾勒奇</v>
          </cell>
          <cell r="AS88">
            <v>22.98</v>
          </cell>
        </row>
        <row r="89">
          <cell r="AO89" t="str">
            <v>電</v>
          </cell>
          <cell r="AQ89" t="str">
            <v>電束木</v>
          </cell>
          <cell r="AS89">
            <v>20</v>
          </cell>
        </row>
        <row r="90">
          <cell r="AO90" t="str">
            <v>電</v>
          </cell>
          <cell r="AQ90" t="str">
            <v>捷克羅姆</v>
          </cell>
          <cell r="AS90">
            <v>18.39</v>
          </cell>
        </row>
        <row r="91">
          <cell r="AO91" t="str">
            <v>電</v>
          </cell>
          <cell r="AQ91" t="str">
            <v>雷伊布</v>
          </cell>
          <cell r="AS91">
            <v>14.61</v>
          </cell>
        </row>
        <row r="92">
          <cell r="AO92" t="str">
            <v>電</v>
          </cell>
          <cell r="AQ92" t="str">
            <v>雷公</v>
          </cell>
          <cell r="AS92">
            <v>16.59</v>
          </cell>
        </row>
        <row r="93">
          <cell r="AO93" t="str">
            <v>地面</v>
          </cell>
          <cell r="AQ93" t="str">
            <v>原始固拉多</v>
          </cell>
          <cell r="AS93">
            <v>22.13</v>
          </cell>
        </row>
        <row r="94">
          <cell r="AO94" t="str">
            <v>地面</v>
          </cell>
          <cell r="AQ94" t="str">
            <v>暗影固拉多</v>
          </cell>
          <cell r="AS94">
            <v>20.85</v>
          </cell>
        </row>
        <row r="95">
          <cell r="AO95" t="str">
            <v>地面</v>
          </cell>
          <cell r="AQ95" t="str">
            <v>Mega烈咬陸鯊</v>
          </cell>
          <cell r="AS95">
            <v>20.22</v>
          </cell>
        </row>
        <row r="96">
          <cell r="AO96" t="str">
            <v>地面</v>
          </cell>
          <cell r="AQ96" t="str">
            <v>暗影烈咬陸鯊</v>
          </cell>
          <cell r="AS96">
            <v>19.420000000000002</v>
          </cell>
        </row>
        <row r="97">
          <cell r="AO97" t="str">
            <v>地面</v>
          </cell>
          <cell r="AQ97" t="str">
            <v>Mega巨沼怪</v>
          </cell>
          <cell r="AS97">
            <v>16.72</v>
          </cell>
        </row>
        <row r="98">
          <cell r="AO98" t="str">
            <v>地面</v>
          </cell>
          <cell r="AQ98" t="str">
            <v>固拉多</v>
          </cell>
          <cell r="AS98">
            <v>17.39</v>
          </cell>
        </row>
        <row r="99">
          <cell r="AO99" t="str">
            <v>地面</v>
          </cell>
          <cell r="AQ99" t="str">
            <v>土地雲-靈獸形態</v>
          </cell>
          <cell r="AS99">
            <v>19.59</v>
          </cell>
        </row>
        <row r="100">
          <cell r="AO100" t="str">
            <v>地面</v>
          </cell>
          <cell r="AQ100" t="str">
            <v>超甲狂犀</v>
          </cell>
          <cell r="AS100">
            <v>15.17</v>
          </cell>
        </row>
        <row r="101">
          <cell r="AO101" t="str">
            <v>地面</v>
          </cell>
          <cell r="AQ101" t="str">
            <v>土地雲-化身形態</v>
          </cell>
          <cell r="AS101">
            <v>16.02</v>
          </cell>
        </row>
        <row r="102">
          <cell r="AO102" t="str">
            <v>地面</v>
          </cell>
          <cell r="AQ102" t="str">
            <v>龍頭地鼠</v>
          </cell>
          <cell r="AS102">
            <v>16.63</v>
          </cell>
        </row>
        <row r="103">
          <cell r="AO103" t="str">
            <v>地面</v>
          </cell>
          <cell r="AQ103" t="str">
            <v>烈咬陸鯊</v>
          </cell>
          <cell r="AS103">
            <v>16.03</v>
          </cell>
        </row>
        <row r="104">
          <cell r="AO104" t="str">
            <v>超能力</v>
          </cell>
          <cell r="AQ104" t="str">
            <v>Mega超夢Y</v>
          </cell>
          <cell r="AS104">
            <v>33.270000000000003</v>
          </cell>
        </row>
        <row r="105">
          <cell r="AO105" t="str">
            <v>超能力</v>
          </cell>
          <cell r="AQ105" t="str">
            <v>Mega超夢X</v>
          </cell>
          <cell r="AS105">
            <v>27.49</v>
          </cell>
        </row>
        <row r="106">
          <cell r="AO106" t="str">
            <v>超能力</v>
          </cell>
          <cell r="AQ106" t="str">
            <v>奈克洛茲瑪-黃昏之鬃</v>
          </cell>
          <cell r="AS106">
            <v>16.55</v>
          </cell>
        </row>
        <row r="107">
          <cell r="AO107" t="str">
            <v>超能力</v>
          </cell>
          <cell r="AQ107" t="str">
            <v>奈克洛茲瑪-拂曉之翼</v>
          </cell>
          <cell r="AS107">
            <v>16.55</v>
          </cell>
        </row>
        <row r="108">
          <cell r="AO108" t="str">
            <v>超能力</v>
          </cell>
          <cell r="AQ108" t="str">
            <v>暗影超夢</v>
          </cell>
          <cell r="AS108">
            <v>25.76</v>
          </cell>
        </row>
        <row r="109">
          <cell r="AO109" t="str">
            <v>超能力</v>
          </cell>
          <cell r="AQ109" t="str">
            <v>Mega拉帝亞斯</v>
          </cell>
          <cell r="AS109">
            <v>17.649999999999999</v>
          </cell>
        </row>
        <row r="110">
          <cell r="AO110" t="str">
            <v>超能力</v>
          </cell>
          <cell r="AQ110" t="str">
            <v>Mega巨金怪</v>
          </cell>
          <cell r="AS110">
            <v>18.3</v>
          </cell>
        </row>
        <row r="111">
          <cell r="AO111" t="str">
            <v>超能力</v>
          </cell>
          <cell r="AQ111" t="str">
            <v>胡帕</v>
          </cell>
          <cell r="AS111">
            <v>20.2</v>
          </cell>
        </row>
        <row r="112">
          <cell r="AO112" t="str">
            <v>超能力</v>
          </cell>
          <cell r="AQ112" t="str">
            <v>超夢</v>
          </cell>
          <cell r="AS112">
            <v>21.25</v>
          </cell>
        </row>
        <row r="113">
          <cell r="AO113" t="str">
            <v>超能力</v>
          </cell>
          <cell r="AQ113" t="str">
            <v>Mega胡地</v>
          </cell>
          <cell r="AS113">
            <v>23.38</v>
          </cell>
        </row>
        <row r="114">
          <cell r="AO114" t="str">
            <v>超能力</v>
          </cell>
          <cell r="AQ114" t="str">
            <v>Mega沙奈朵</v>
          </cell>
          <cell r="AS114">
            <v>20.92</v>
          </cell>
        </row>
        <row r="115">
          <cell r="AO115" t="str">
            <v>超能力</v>
          </cell>
          <cell r="AQ115" t="str">
            <v>Mega拉帝歐斯</v>
          </cell>
          <cell r="AS115">
            <v>20.47</v>
          </cell>
        </row>
        <row r="116">
          <cell r="AO116" t="str">
            <v>岩石</v>
          </cell>
          <cell r="AQ116" t="str">
            <v>Mega蒂安希</v>
          </cell>
          <cell r="AS116">
            <v>20.05</v>
          </cell>
        </row>
        <row r="117">
          <cell r="AO117" t="str">
            <v>岩石</v>
          </cell>
          <cell r="AQ117" t="str">
            <v>Mega化石翼龍</v>
          </cell>
          <cell r="AS117">
            <v>17.54</v>
          </cell>
        </row>
        <row r="118">
          <cell r="AO118" t="str">
            <v>岩石</v>
          </cell>
          <cell r="AQ118" t="str">
            <v>暗影班基拉斯</v>
          </cell>
          <cell r="AS118">
            <v>17.47</v>
          </cell>
        </row>
        <row r="119">
          <cell r="AO119" t="str">
            <v>岩石</v>
          </cell>
          <cell r="AQ119" t="str">
            <v>Mega班基拉斯</v>
          </cell>
          <cell r="AS119">
            <v>17.45</v>
          </cell>
        </row>
        <row r="120">
          <cell r="AO120" t="str">
            <v>岩石</v>
          </cell>
          <cell r="AQ120" t="str">
            <v>班基拉斯</v>
          </cell>
          <cell r="AS120">
            <v>14.53</v>
          </cell>
        </row>
        <row r="121">
          <cell r="AO121" t="str">
            <v>岩石</v>
          </cell>
          <cell r="AQ121" t="str">
            <v>龐岩怪</v>
          </cell>
          <cell r="AS121">
            <v>15.27</v>
          </cell>
        </row>
        <row r="122">
          <cell r="AO122" t="str">
            <v>岩石</v>
          </cell>
          <cell r="AQ122" t="str">
            <v>代拉基翁</v>
          </cell>
          <cell r="AS122">
            <v>15.55</v>
          </cell>
        </row>
        <row r="123">
          <cell r="AO123" t="str">
            <v>岩石</v>
          </cell>
          <cell r="AQ123" t="str">
            <v>暗影超甲狂犀</v>
          </cell>
          <cell r="AS123">
            <v>19.61</v>
          </cell>
        </row>
        <row r="124">
          <cell r="AO124" t="str">
            <v>岩石</v>
          </cell>
          <cell r="AQ124" t="str">
            <v>超甲狂犀</v>
          </cell>
          <cell r="AS124">
            <v>16.14</v>
          </cell>
        </row>
        <row r="125">
          <cell r="AO125" t="str">
            <v>岩石</v>
          </cell>
          <cell r="AQ125" t="str">
            <v>暗影戰槌龍</v>
          </cell>
          <cell r="AS125">
            <v>22.22</v>
          </cell>
        </row>
        <row r="126">
          <cell r="AO126" t="str">
            <v>岩石</v>
          </cell>
          <cell r="AQ126" t="str">
            <v>戰槌龍</v>
          </cell>
          <cell r="AS126">
            <v>18.22</v>
          </cell>
        </row>
        <row r="127">
          <cell r="AO127" t="str">
            <v>冰</v>
          </cell>
          <cell r="AQ127" t="str">
            <v>焰白酋雷姆</v>
          </cell>
          <cell r="AS127">
            <v>22.16</v>
          </cell>
        </row>
        <row r="128">
          <cell r="AO128" t="str">
            <v>冰</v>
          </cell>
          <cell r="AQ128" t="str">
            <v>闇黑酋雷姆</v>
          </cell>
          <cell r="AS128">
            <v>20.02</v>
          </cell>
        </row>
        <row r="129">
          <cell r="AO129" t="str">
            <v>冰</v>
          </cell>
          <cell r="AQ129" t="str">
            <v>戟脊龍</v>
          </cell>
          <cell r="AS129">
            <v>16.170000000000002</v>
          </cell>
        </row>
        <row r="130">
          <cell r="AO130" t="str">
            <v>冰</v>
          </cell>
          <cell r="AQ130" t="str">
            <v>冰伊布</v>
          </cell>
          <cell r="AS130">
            <v>14.88</v>
          </cell>
        </row>
        <row r="131">
          <cell r="AO131" t="str">
            <v>冰</v>
          </cell>
          <cell r="AQ131" t="str">
            <v>達摩狒狒 伽勒爾</v>
          </cell>
          <cell r="AS131">
            <v>17.25</v>
          </cell>
        </row>
        <row r="132">
          <cell r="AO132" t="str">
            <v>冰</v>
          </cell>
          <cell r="AQ132" t="str">
            <v>Mega冰鬼護</v>
          </cell>
          <cell r="AS132">
            <v>15.98</v>
          </cell>
        </row>
        <row r="133">
          <cell r="AO133" t="str">
            <v>冰</v>
          </cell>
          <cell r="AQ133" t="str">
            <v>Mega暴雪王</v>
          </cell>
          <cell r="AS133">
            <v>15.61</v>
          </cell>
        </row>
        <row r="134">
          <cell r="AO134" t="str">
            <v>冰</v>
          </cell>
          <cell r="AQ134" t="str">
            <v>Mega雪妖女</v>
          </cell>
          <cell r="AS134">
            <v>17.68</v>
          </cell>
        </row>
        <row r="135">
          <cell r="AO135" t="str">
            <v>冰</v>
          </cell>
          <cell r="AQ135" t="str">
            <v>暗影象牙豬</v>
          </cell>
          <cell r="AS135">
            <v>19.27</v>
          </cell>
        </row>
        <row r="136">
          <cell r="AO136" t="str">
            <v>冰</v>
          </cell>
          <cell r="AQ136" t="str">
            <v>象牙豬</v>
          </cell>
          <cell r="AS136">
            <v>15.82</v>
          </cell>
        </row>
        <row r="137">
          <cell r="AO137" t="str">
            <v>冰</v>
          </cell>
          <cell r="AQ137" t="str">
            <v>瑪狃拉</v>
          </cell>
          <cell r="AS137">
            <v>15.26</v>
          </cell>
        </row>
        <row r="138">
          <cell r="AO138" t="str">
            <v>蟲</v>
          </cell>
          <cell r="AQ138" t="str">
            <v>費洛美螂</v>
          </cell>
          <cell r="AS138">
            <v>20.260000000000002</v>
          </cell>
        </row>
        <row r="139">
          <cell r="AO139" t="str">
            <v>蟲</v>
          </cell>
          <cell r="AQ139" t="str">
            <v>Mega大針鋒</v>
          </cell>
          <cell r="AS139">
            <v>25.73</v>
          </cell>
        </row>
        <row r="140">
          <cell r="AO140" t="str">
            <v>蟲</v>
          </cell>
          <cell r="AQ140" t="str">
            <v>Mega赫拉克羅斯</v>
          </cell>
          <cell r="AS140">
            <v>20.46</v>
          </cell>
        </row>
        <row r="141">
          <cell r="AO141" t="str">
            <v>蟲</v>
          </cell>
          <cell r="AQ141" t="str">
            <v>Mega巨鉗螳螂</v>
          </cell>
          <cell r="AS141">
            <v>16.52</v>
          </cell>
        </row>
        <row r="142">
          <cell r="AO142" t="str">
            <v>蟲</v>
          </cell>
          <cell r="AQ142" t="str">
            <v>蓋諾賽克特</v>
          </cell>
          <cell r="AS142">
            <v>15.23</v>
          </cell>
        </row>
        <row r="143">
          <cell r="AO143" t="str">
            <v>蟲</v>
          </cell>
          <cell r="AQ143" t="str">
            <v>火神蛾</v>
          </cell>
          <cell r="AS143">
            <v>16.29</v>
          </cell>
        </row>
        <row r="144">
          <cell r="AO144" t="str">
            <v>龍</v>
          </cell>
          <cell r="AQ144" t="str">
            <v>Mega烈空坐</v>
          </cell>
          <cell r="AS144">
            <v>25.54</v>
          </cell>
        </row>
        <row r="145">
          <cell r="AO145" t="str">
            <v>龍</v>
          </cell>
          <cell r="AQ145" t="str">
            <v>無極汰那</v>
          </cell>
          <cell r="AS145">
            <v>26.32</v>
          </cell>
        </row>
        <row r="146">
          <cell r="AO146" t="str">
            <v>龍</v>
          </cell>
          <cell r="AQ146" t="str">
            <v>暗影雙斧戰龍</v>
          </cell>
          <cell r="AS146">
            <v>23.99</v>
          </cell>
        </row>
        <row r="147">
          <cell r="AO147" t="str">
            <v>龍</v>
          </cell>
          <cell r="AQ147" t="str">
            <v>暗影暴飛龍</v>
          </cell>
          <cell r="AS147">
            <v>22.52</v>
          </cell>
        </row>
        <row r="148">
          <cell r="AO148" t="str">
            <v>龍</v>
          </cell>
          <cell r="AQ148" t="str">
            <v>闇黑酋雷姆</v>
          </cell>
          <cell r="AS148">
            <v>20.18</v>
          </cell>
        </row>
        <row r="149">
          <cell r="AO149" t="str">
            <v>龍</v>
          </cell>
          <cell r="AQ149" t="str">
            <v>烈空坐</v>
          </cell>
          <cell r="AS149">
            <v>19.86</v>
          </cell>
        </row>
        <row r="150">
          <cell r="AO150" t="str">
            <v>龍</v>
          </cell>
          <cell r="AQ150" t="str">
            <v>雙斧戰龍</v>
          </cell>
          <cell r="AS150">
            <v>19.77</v>
          </cell>
        </row>
        <row r="151">
          <cell r="AO151" t="str">
            <v>龍</v>
          </cell>
          <cell r="AQ151" t="str">
            <v>Mega烈咬陸鯊</v>
          </cell>
          <cell r="AS151">
            <v>23.05</v>
          </cell>
        </row>
        <row r="152">
          <cell r="AO152" t="str">
            <v>龍</v>
          </cell>
          <cell r="AQ152" t="str">
            <v>Mega暴飛龍</v>
          </cell>
          <cell r="AS152">
            <v>20.440000000000001</v>
          </cell>
        </row>
        <row r="153">
          <cell r="AO153" t="str">
            <v>龍</v>
          </cell>
          <cell r="AQ153" t="str">
            <v>焰白酋雷姆</v>
          </cell>
          <cell r="AS153">
            <v>18.170000000000002</v>
          </cell>
        </row>
        <row r="154">
          <cell r="AO154" t="str">
            <v>龍</v>
          </cell>
          <cell r="AQ154" t="str">
            <v>Mega拉帝歐斯</v>
          </cell>
          <cell r="AS154">
            <v>19.28</v>
          </cell>
        </row>
        <row r="155">
          <cell r="AO155" t="str">
            <v>龍</v>
          </cell>
          <cell r="AQ155" t="str">
            <v>起源帝牙盧卡</v>
          </cell>
          <cell r="AS155">
            <v>19.739999999999998</v>
          </cell>
        </row>
        <row r="156">
          <cell r="AO156" t="str">
            <v>龍</v>
          </cell>
          <cell r="AQ156" t="str">
            <v>戟脊龍</v>
          </cell>
          <cell r="AS156">
            <v>20.350000000000001</v>
          </cell>
        </row>
        <row r="157">
          <cell r="AO157" t="str">
            <v>龍</v>
          </cell>
          <cell r="AQ157" t="str">
            <v>起源帕路奇亞</v>
          </cell>
          <cell r="AS157">
            <v>20.84</v>
          </cell>
        </row>
        <row r="158">
          <cell r="AO158" t="str">
            <v>龍</v>
          </cell>
          <cell r="AQ158" t="str">
            <v>暴飛龍</v>
          </cell>
          <cell r="AS158">
            <v>18.670000000000002</v>
          </cell>
        </row>
        <row r="159">
          <cell r="AO159" t="str">
            <v>龍</v>
          </cell>
          <cell r="AQ159" t="str">
            <v>Mega快龍</v>
          </cell>
          <cell r="AS159">
            <v>24.54</v>
          </cell>
        </row>
        <row r="160">
          <cell r="AO160" t="str">
            <v>龍</v>
          </cell>
          <cell r="AQ160" t="str">
            <v>Mega噴火龍X</v>
          </cell>
          <cell r="AS160">
            <v>16.100000000000001</v>
          </cell>
        </row>
        <row r="161">
          <cell r="AO161" t="str">
            <v>龍</v>
          </cell>
          <cell r="AQ161" t="str">
            <v>帕路奇亞</v>
          </cell>
          <cell r="AS161">
            <v>18.55</v>
          </cell>
        </row>
        <row r="162">
          <cell r="AO162" t="str">
            <v>龍</v>
          </cell>
          <cell r="AQ162" t="str">
            <v>帝牙盧卡</v>
          </cell>
          <cell r="AS162">
            <v>17.54</v>
          </cell>
        </row>
        <row r="163">
          <cell r="AO163" t="str">
            <v>龍</v>
          </cell>
          <cell r="AQ163" t="str">
            <v>烈咬陸鯊</v>
          </cell>
          <cell r="AS163">
            <v>18.25</v>
          </cell>
        </row>
        <row r="164">
          <cell r="AO164" t="str">
            <v>龍</v>
          </cell>
          <cell r="AQ164" t="str">
            <v>快龍</v>
          </cell>
          <cell r="AS164">
            <v>17.649999999999999</v>
          </cell>
        </row>
        <row r="165">
          <cell r="AO165" t="str">
            <v>幽靈</v>
          </cell>
          <cell r="AQ165" t="str">
            <v>奈克洛茲瑪-拂曉之翼</v>
          </cell>
          <cell r="AS165">
            <v>23.12</v>
          </cell>
        </row>
        <row r="166">
          <cell r="AO166" t="str">
            <v>幽靈</v>
          </cell>
          <cell r="AQ166" t="str">
            <v>暗影水晶燈火靈</v>
          </cell>
          <cell r="AS166">
            <v>19.96</v>
          </cell>
        </row>
        <row r="167">
          <cell r="AO167" t="str">
            <v>幽靈</v>
          </cell>
          <cell r="AQ167" t="str">
            <v>砰頭小丑</v>
          </cell>
          <cell r="AS167">
            <v>21.36</v>
          </cell>
        </row>
        <row r="168">
          <cell r="AO168" t="str">
            <v>幽靈</v>
          </cell>
          <cell r="AQ168" t="str">
            <v>暗影耿鬼</v>
          </cell>
          <cell r="AS168">
            <v>21.93</v>
          </cell>
        </row>
        <row r="169">
          <cell r="AO169" t="str">
            <v>幽靈</v>
          </cell>
          <cell r="AQ169" t="str">
            <v>耿鬼</v>
          </cell>
          <cell r="AS169">
            <v>18.11</v>
          </cell>
        </row>
        <row r="170">
          <cell r="AO170" t="str">
            <v>幽靈</v>
          </cell>
          <cell r="AQ170" t="str">
            <v>Mega耿鬼</v>
          </cell>
          <cell r="AS170">
            <v>23.29</v>
          </cell>
        </row>
        <row r="171">
          <cell r="AO171" t="str">
            <v>幽靈</v>
          </cell>
          <cell r="AQ171" t="str">
            <v>Mega詛咒娃娃</v>
          </cell>
          <cell r="AS171">
            <v>20.67</v>
          </cell>
        </row>
        <row r="172">
          <cell r="AO172" t="str">
            <v>幽靈</v>
          </cell>
          <cell r="AQ172" t="str">
            <v>水晶燈火靈</v>
          </cell>
          <cell r="AS172">
            <v>17.64</v>
          </cell>
        </row>
        <row r="173">
          <cell r="AO173" t="str">
            <v>惡</v>
          </cell>
          <cell r="AQ173" t="str">
            <v>班基拉斯</v>
          </cell>
          <cell r="AS173">
            <v>16.79</v>
          </cell>
        </row>
        <row r="174">
          <cell r="AO174" t="str">
            <v>惡</v>
          </cell>
          <cell r="AQ174" t="str">
            <v>伊裴爾塔爾</v>
          </cell>
          <cell r="AS174">
            <v>15.18</v>
          </cell>
        </row>
        <row r="175">
          <cell r="AO175" t="str">
            <v>惡</v>
          </cell>
          <cell r="AQ175" t="str">
            <v>Mega巨牙鯊</v>
          </cell>
          <cell r="AS175">
            <v>16.239999999999998</v>
          </cell>
        </row>
        <row r="176">
          <cell r="AO176" t="str">
            <v>惡</v>
          </cell>
          <cell r="AQ176" t="str">
            <v>阿勃梭魯</v>
          </cell>
          <cell r="AS176">
            <v>17.8</v>
          </cell>
        </row>
        <row r="177">
          <cell r="AO177" t="str">
            <v>惡</v>
          </cell>
          <cell r="AQ177" t="str">
            <v>Mega班基拉斯</v>
          </cell>
          <cell r="AS177">
            <v>19.920000000000002</v>
          </cell>
        </row>
        <row r="178">
          <cell r="AO178" t="str">
            <v>惡</v>
          </cell>
          <cell r="AQ178" t="str">
            <v>Mega黑魯加</v>
          </cell>
          <cell r="AS178">
            <v>18.63</v>
          </cell>
        </row>
        <row r="179">
          <cell r="AO179" t="str">
            <v>惡</v>
          </cell>
          <cell r="AQ179" t="str">
            <v>Mega暴鯉龍</v>
          </cell>
          <cell r="AS179">
            <v>16</v>
          </cell>
        </row>
        <row r="180">
          <cell r="AO180" t="str">
            <v>惡</v>
          </cell>
          <cell r="AQ180" t="str">
            <v>達克萊伊</v>
          </cell>
          <cell r="AS180">
            <v>16.940000000000001</v>
          </cell>
        </row>
        <row r="181">
          <cell r="AO181" t="str">
            <v>惡</v>
          </cell>
          <cell r="AQ181" t="str">
            <v>暗影班基拉斯</v>
          </cell>
          <cell r="AS181">
            <v>20.32</v>
          </cell>
        </row>
        <row r="182">
          <cell r="AO182" t="str">
            <v>惡</v>
          </cell>
          <cell r="AQ182" t="str">
            <v>暗影三首惡龍</v>
          </cell>
          <cell r="AS182">
            <v>20.84</v>
          </cell>
        </row>
        <row r="183">
          <cell r="AO183" t="str">
            <v>惡</v>
          </cell>
          <cell r="AQ183" t="str">
            <v>三首惡龍</v>
          </cell>
          <cell r="AS183">
            <v>17.2</v>
          </cell>
        </row>
        <row r="184">
          <cell r="AO184" t="str">
            <v>惡</v>
          </cell>
          <cell r="AQ184" t="str">
            <v>Mega阿勃梭魯</v>
          </cell>
          <cell r="AS184">
            <v>22.21</v>
          </cell>
        </row>
        <row r="185">
          <cell r="AO185" t="str">
            <v>鋼</v>
          </cell>
          <cell r="AQ185" t="str">
            <v>劍之王</v>
          </cell>
          <cell r="AS185">
            <v>25.87</v>
          </cell>
        </row>
        <row r="186">
          <cell r="AO186" t="str">
            <v>鋼</v>
          </cell>
          <cell r="AQ186" t="str">
            <v>Mega路卡利歐</v>
          </cell>
          <cell r="AS186">
            <v>21.9</v>
          </cell>
        </row>
        <row r="187">
          <cell r="AO187" t="str">
            <v>鋼</v>
          </cell>
          <cell r="AQ187" t="str">
            <v>盾之王</v>
          </cell>
          <cell r="AS187">
            <v>24.77</v>
          </cell>
        </row>
        <row r="188">
          <cell r="AO188" t="str">
            <v>鋼</v>
          </cell>
          <cell r="AQ188" t="str">
            <v>奈克洛茲瑪-黃昏之鬃</v>
          </cell>
          <cell r="AS188">
            <v>25.02</v>
          </cell>
        </row>
        <row r="189">
          <cell r="AO189" t="str">
            <v>鋼</v>
          </cell>
          <cell r="AQ189" t="str">
            <v>Mega巨金怪</v>
          </cell>
          <cell r="AS189">
            <v>20.71</v>
          </cell>
        </row>
        <row r="190">
          <cell r="AO190" t="str">
            <v>鋼</v>
          </cell>
          <cell r="AQ190" t="str">
            <v>暗影巨金怪</v>
          </cell>
          <cell r="AS190">
            <v>21.99</v>
          </cell>
        </row>
        <row r="191">
          <cell r="AO191" t="str">
            <v>鋼</v>
          </cell>
          <cell r="AQ191" t="str">
            <v>巨金怪</v>
          </cell>
          <cell r="AS191">
            <v>18.16</v>
          </cell>
        </row>
        <row r="192">
          <cell r="AO192" t="str">
            <v>鋼</v>
          </cell>
          <cell r="AQ192" t="str">
            <v>起源帝牙盧卡</v>
          </cell>
          <cell r="AS192">
            <v>15.94</v>
          </cell>
        </row>
        <row r="193">
          <cell r="AO193" t="str">
            <v>鋼</v>
          </cell>
          <cell r="AQ193" t="str">
            <v>帝牙盧卡</v>
          </cell>
          <cell r="AS193">
            <v>16.239999999999998</v>
          </cell>
        </row>
        <row r="194">
          <cell r="AO194" t="str">
            <v>鋼</v>
          </cell>
          <cell r="AQ194" t="str">
            <v>Mega波士可多拉</v>
          </cell>
          <cell r="AS194">
            <v>15.01</v>
          </cell>
        </row>
        <row r="195">
          <cell r="AO195" t="str">
            <v>鋼</v>
          </cell>
          <cell r="AQ195" t="str">
            <v>美錄梅塔</v>
          </cell>
          <cell r="AS195">
            <v>16.16</v>
          </cell>
        </row>
        <row r="196">
          <cell r="AO196" t="str">
            <v>鋼</v>
          </cell>
          <cell r="AQ196" t="str">
            <v>蓋諾賽克特</v>
          </cell>
          <cell r="AS196">
            <v>15.89</v>
          </cell>
        </row>
        <row r="197">
          <cell r="AO197" t="str">
            <v>鋼</v>
          </cell>
          <cell r="AQ197" t="str">
            <v>Mega巨鉗螳螂</v>
          </cell>
          <cell r="AS197">
            <v>15.06</v>
          </cell>
        </row>
        <row r="198">
          <cell r="AO198" t="str">
            <v>鋼</v>
          </cell>
          <cell r="AQ198" t="str">
            <v>龍頭地鼠</v>
          </cell>
          <cell r="AS198">
            <v>15.63</v>
          </cell>
        </row>
        <row r="199">
          <cell r="AO199" t="str">
            <v>鋼</v>
          </cell>
          <cell r="AQ199" t="str">
            <v>巨鍛匠</v>
          </cell>
          <cell r="AS199">
            <v>18.07</v>
          </cell>
        </row>
        <row r="200">
          <cell r="AO200" t="str">
            <v>妖精</v>
          </cell>
          <cell r="AQ200" t="str">
            <v>Mega沙奈朵</v>
          </cell>
          <cell r="AS200">
            <v>19.920000000000002</v>
          </cell>
        </row>
        <row r="201">
          <cell r="AO201" t="str">
            <v>妖精</v>
          </cell>
          <cell r="AQ201" t="str">
            <v>眷戀雲化身形態</v>
          </cell>
          <cell r="AS201">
            <v>17.57</v>
          </cell>
        </row>
        <row r="202">
          <cell r="AO202" t="str">
            <v>妖精</v>
          </cell>
          <cell r="AQ202" t="str">
            <v>Mega蒂安希</v>
          </cell>
          <cell r="AS202">
            <v>19.16</v>
          </cell>
        </row>
        <row r="203">
          <cell r="AO203" t="str">
            <v>妖精</v>
          </cell>
          <cell r="AQ203" t="str">
            <v>布魯皇</v>
          </cell>
          <cell r="AS203">
            <v>13.85</v>
          </cell>
        </row>
        <row r="204">
          <cell r="AO204" t="str">
            <v>妖精</v>
          </cell>
          <cell r="AQ204" t="str">
            <v>哲爾尼亞斯</v>
          </cell>
          <cell r="AS204">
            <v>15.17</v>
          </cell>
        </row>
        <row r="205">
          <cell r="AO205" t="str">
            <v>妖精</v>
          </cell>
          <cell r="AQ205" t="str">
            <v>仙子伊布</v>
          </cell>
          <cell r="AS205">
            <v>12.99</v>
          </cell>
        </row>
        <row r="206">
          <cell r="AO206" t="str">
            <v>妖精</v>
          </cell>
          <cell r="AQ206" t="str">
            <v>波克基斯</v>
          </cell>
          <cell r="AS206">
            <v>14.2</v>
          </cell>
        </row>
        <row r="207">
          <cell r="AO207" t="str">
            <v>妖精</v>
          </cell>
          <cell r="AQ207" t="str">
            <v>沙奈朵</v>
          </cell>
          <cell r="AS207">
            <v>14.9</v>
          </cell>
        </row>
        <row r="208">
          <cell r="AO208" t="str">
            <v>妖精</v>
          </cell>
          <cell r="AQ208" t="str">
            <v>布莉姆溫</v>
          </cell>
          <cell r="AS208">
            <v>14.88</v>
          </cell>
        </row>
        <row r="209">
          <cell r="AO209" t="str">
            <v>妖精</v>
          </cell>
          <cell r="AQ209" t="str">
            <v>卡璞・蝶蝶</v>
          </cell>
          <cell r="AS209">
            <v>15.74</v>
          </cell>
        </row>
        <row r="210">
          <cell r="AO210" t="str">
            <v>妖精</v>
          </cell>
          <cell r="AQ210" t="str">
            <v>卡璞・鳴鳴</v>
          </cell>
          <cell r="AS210">
            <v>15.45</v>
          </cell>
        </row>
        <row r="211">
          <cell r="AO211" t="str">
            <v>妖精</v>
          </cell>
          <cell r="AQ211" t="str">
            <v>卡璞・哞哞</v>
          </cell>
          <cell r="AS211">
            <v>15.65</v>
          </cell>
        </row>
        <row r="212">
          <cell r="AO212" t="str">
            <v>妖精</v>
          </cell>
          <cell r="AQ212" t="str">
            <v>眷戀雲靈獸形態</v>
          </cell>
          <cell r="AS212">
            <v>13.82</v>
          </cell>
        </row>
        <row r="213">
          <cell r="AO213" t="str">
            <v>妖精</v>
          </cell>
          <cell r="AQ213" t="str">
            <v>巨鍛匠</v>
          </cell>
          <cell r="AS213">
            <v>10.11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"/>
  <sheetViews>
    <sheetView tabSelected="1" topLeftCell="A134" workbookViewId="0">
      <selection activeCell="A217" sqref="A217"/>
    </sheetView>
  </sheetViews>
  <sheetFormatPr defaultRowHeight="16.3" x14ac:dyDescent="0.3"/>
  <cols>
    <col min="1" max="1" width="16" style="14" bestFit="1" customWidth="1"/>
    <col min="2" max="3" width="9" style="14"/>
  </cols>
  <sheetData>
    <row r="1" spans="1:24" x14ac:dyDescent="0.3">
      <c r="A1" s="14" t="s">
        <v>20</v>
      </c>
      <c r="B1" s="14" t="s">
        <v>21</v>
      </c>
      <c r="C1" s="14" t="s">
        <v>22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2" t="s">
        <v>18</v>
      </c>
      <c r="X1" s="1" t="s">
        <v>19</v>
      </c>
    </row>
    <row r="2" spans="1:24" x14ac:dyDescent="0.3">
      <c r="A2" s="13" t="str">
        <f>[1]屬性克制表!AQ2</f>
        <v>Mega火焰雞</v>
      </c>
      <c r="B2" s="15" t="str">
        <f>[1]屬性克制表!AO2</f>
        <v>火</v>
      </c>
      <c r="C2" s="15">
        <f>[1]屬性克制表!AS2</f>
        <v>23.82</v>
      </c>
      <c r="E2" s="1" t="s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3">
        <v>0.625</v>
      </c>
      <c r="Q2" s="1">
        <v>1</v>
      </c>
      <c r="R2" s="1">
        <v>1</v>
      </c>
      <c r="S2" s="1">
        <v>1</v>
      </c>
      <c r="T2" s="4">
        <v>0.39100000000000001</v>
      </c>
      <c r="U2" s="1">
        <v>1</v>
      </c>
      <c r="V2" s="3">
        <v>0.625</v>
      </c>
      <c r="W2" s="2">
        <v>1</v>
      </c>
      <c r="X2" s="1">
        <v>1</v>
      </c>
    </row>
    <row r="3" spans="1:24" x14ac:dyDescent="0.3">
      <c r="A3" s="13" t="str">
        <f>[1]屬性克制表!AQ3</f>
        <v>Mega噴火龍Y</v>
      </c>
      <c r="B3" s="15" t="str">
        <f>[1]屬性克制表!AO3</f>
        <v>火</v>
      </c>
      <c r="C3" s="15">
        <f>[1]屬性克制表!AS3</f>
        <v>22.78</v>
      </c>
      <c r="E3" s="1" t="s">
        <v>2</v>
      </c>
      <c r="F3" s="1">
        <v>1</v>
      </c>
      <c r="G3" s="3">
        <v>0.625</v>
      </c>
      <c r="H3" s="1">
        <v>1</v>
      </c>
      <c r="I3" s="3">
        <v>0.625</v>
      </c>
      <c r="J3" s="1">
        <v>1</v>
      </c>
      <c r="K3" s="5">
        <v>1.6</v>
      </c>
      <c r="L3" s="1">
        <v>1</v>
      </c>
      <c r="M3" s="1">
        <v>1</v>
      </c>
      <c r="N3" s="1">
        <v>1</v>
      </c>
      <c r="O3" s="1">
        <v>1</v>
      </c>
      <c r="P3" s="3">
        <v>0.625</v>
      </c>
      <c r="Q3" s="5">
        <v>1.6</v>
      </c>
      <c r="R3" s="5">
        <v>1.6</v>
      </c>
      <c r="S3" s="3">
        <v>0.625</v>
      </c>
      <c r="T3" s="1">
        <v>1</v>
      </c>
      <c r="U3" s="1">
        <v>1</v>
      </c>
      <c r="V3" s="5">
        <v>1.6</v>
      </c>
      <c r="W3" s="2">
        <v>1</v>
      </c>
      <c r="X3" s="1">
        <v>1</v>
      </c>
    </row>
    <row r="4" spans="1:24" x14ac:dyDescent="0.3">
      <c r="A4" s="13" t="str">
        <f>[1]屬性克制表!AQ4</f>
        <v>暗影萊希拉姆</v>
      </c>
      <c r="B4" s="15" t="str">
        <f>[1]屬性克制表!AO4</f>
        <v>火</v>
      </c>
      <c r="C4" s="15">
        <f>[1]屬性克制表!AS4</f>
        <v>23.59</v>
      </c>
      <c r="E4" s="1" t="s">
        <v>3</v>
      </c>
      <c r="F4" s="5">
        <v>1.6</v>
      </c>
      <c r="G4" s="1">
        <v>1</v>
      </c>
      <c r="H4" s="1">
        <v>1</v>
      </c>
      <c r="I4" s="1">
        <v>1</v>
      </c>
      <c r="J4" s="3">
        <v>0.625</v>
      </c>
      <c r="K4" s="1">
        <v>1</v>
      </c>
      <c r="L4" s="3">
        <v>0.625</v>
      </c>
      <c r="M4" s="1">
        <v>1</v>
      </c>
      <c r="N4" s="1">
        <v>1</v>
      </c>
      <c r="O4" s="3">
        <v>0.625</v>
      </c>
      <c r="P4" s="5">
        <v>1.6</v>
      </c>
      <c r="Q4" s="5">
        <v>1.6</v>
      </c>
      <c r="R4" s="3">
        <v>0.625</v>
      </c>
      <c r="S4" s="1">
        <v>1</v>
      </c>
      <c r="T4" s="4">
        <v>0.39100000000000001</v>
      </c>
      <c r="U4" s="5">
        <v>1.6</v>
      </c>
      <c r="V4" s="5">
        <v>1.6</v>
      </c>
      <c r="W4" s="6">
        <v>0.625</v>
      </c>
      <c r="X4" s="1">
        <v>1</v>
      </c>
    </row>
    <row r="5" spans="1:24" x14ac:dyDescent="0.3">
      <c r="A5" s="13" t="str">
        <f>[1]屬性克制表!AQ5</f>
        <v>萊希拉姆</v>
      </c>
      <c r="B5" s="15" t="str">
        <f>[1]屬性克制表!AO5</f>
        <v>火</v>
      </c>
      <c r="C5" s="15">
        <f>[1]屬性克制表!AS5</f>
        <v>19.579999999999998</v>
      </c>
      <c r="E5" s="1" t="s">
        <v>4</v>
      </c>
      <c r="F5" s="1">
        <v>1</v>
      </c>
      <c r="G5" s="5">
        <v>1.6</v>
      </c>
      <c r="H5" s="1">
        <v>1</v>
      </c>
      <c r="I5" s="3">
        <v>0.625</v>
      </c>
      <c r="J5" s="1">
        <v>1</v>
      </c>
      <c r="K5" s="3">
        <v>0.625</v>
      </c>
      <c r="L5" s="1">
        <v>1</v>
      </c>
      <c r="M5" s="1">
        <v>1</v>
      </c>
      <c r="N5" s="5">
        <v>1.6</v>
      </c>
      <c r="O5" s="1">
        <v>1</v>
      </c>
      <c r="P5" s="5">
        <v>1.6</v>
      </c>
      <c r="Q5" s="1">
        <v>1</v>
      </c>
      <c r="R5" s="1">
        <v>1</v>
      </c>
      <c r="S5" s="3">
        <v>0.625</v>
      </c>
      <c r="T5" s="1">
        <v>1</v>
      </c>
      <c r="U5" s="1">
        <v>1</v>
      </c>
      <c r="V5" s="1">
        <v>1</v>
      </c>
      <c r="W5" s="2">
        <v>1</v>
      </c>
      <c r="X5" s="1">
        <v>1</v>
      </c>
    </row>
    <row r="6" spans="1:24" x14ac:dyDescent="0.3">
      <c r="A6" s="13" t="str">
        <f>[1]屬性克制表!AQ6</f>
        <v>Mega噴火龍X</v>
      </c>
      <c r="B6" s="15" t="str">
        <f>[1]屬性克制表!AO6</f>
        <v>火</v>
      </c>
      <c r="C6" s="15">
        <f>[1]屬性克制表!AS6</f>
        <v>19.68</v>
      </c>
      <c r="E6" s="1" t="s">
        <v>5</v>
      </c>
      <c r="F6" s="1">
        <v>1</v>
      </c>
      <c r="G6" s="1">
        <v>1</v>
      </c>
      <c r="H6" s="5">
        <v>1.6</v>
      </c>
      <c r="I6" s="1">
        <v>1</v>
      </c>
      <c r="J6" s="1">
        <v>1</v>
      </c>
      <c r="K6" s="5">
        <v>1.6</v>
      </c>
      <c r="L6" s="1">
        <v>1</v>
      </c>
      <c r="M6" s="3">
        <v>0.625</v>
      </c>
      <c r="N6" s="1">
        <v>1</v>
      </c>
      <c r="O6" s="1">
        <v>1</v>
      </c>
      <c r="P6" s="3">
        <v>0.625</v>
      </c>
      <c r="Q6" s="1">
        <v>1</v>
      </c>
      <c r="R6" s="5">
        <v>1.6</v>
      </c>
      <c r="S6" s="1">
        <v>1</v>
      </c>
      <c r="T6" s="1">
        <v>1</v>
      </c>
      <c r="U6" s="1">
        <v>1</v>
      </c>
      <c r="V6" s="3">
        <v>0.625</v>
      </c>
      <c r="W6" s="2">
        <v>1</v>
      </c>
      <c r="X6" s="1">
        <v>1</v>
      </c>
    </row>
    <row r="7" spans="1:24" x14ac:dyDescent="0.3">
      <c r="A7" s="13" t="str">
        <f>[1]屬性克制表!AQ7</f>
        <v>暗影火焰雞</v>
      </c>
      <c r="B7" s="15" t="str">
        <f>[1]屬性克制表!AO7</f>
        <v>火</v>
      </c>
      <c r="C7" s="15">
        <f>[1]屬性克制表!AS7</f>
        <v>21.88</v>
      </c>
      <c r="E7" s="1" t="s">
        <v>6</v>
      </c>
      <c r="F7" s="1">
        <v>1</v>
      </c>
      <c r="G7" s="3">
        <v>0.625</v>
      </c>
      <c r="H7" s="1">
        <v>1</v>
      </c>
      <c r="I7" s="5">
        <v>1.6</v>
      </c>
      <c r="J7" s="3">
        <v>0.625</v>
      </c>
      <c r="K7" s="3">
        <v>0.625</v>
      </c>
      <c r="L7" s="3">
        <v>0.625</v>
      </c>
      <c r="M7" s="1">
        <v>1</v>
      </c>
      <c r="N7" s="5">
        <v>1.6</v>
      </c>
      <c r="O7" s="1">
        <v>1</v>
      </c>
      <c r="P7" s="5">
        <v>1.6</v>
      </c>
      <c r="Q7" s="1">
        <v>1</v>
      </c>
      <c r="R7" s="3">
        <v>0.625</v>
      </c>
      <c r="S7" s="3">
        <v>0.625</v>
      </c>
      <c r="T7" s="1">
        <v>1</v>
      </c>
      <c r="U7" s="1">
        <v>1</v>
      </c>
      <c r="V7" s="3">
        <v>0.625</v>
      </c>
      <c r="W7" s="2">
        <v>1</v>
      </c>
      <c r="X7" s="1">
        <v>1</v>
      </c>
    </row>
    <row r="8" spans="1:24" x14ac:dyDescent="0.3">
      <c r="A8" s="13" t="str">
        <f>[1]屬性克制表!AQ8</f>
        <v>砰頭小丑</v>
      </c>
      <c r="B8" s="15" t="str">
        <f>[1]屬性克制表!AO8</f>
        <v>火</v>
      </c>
      <c r="C8" s="15">
        <f>[1]屬性克制表!AS8</f>
        <v>24.81</v>
      </c>
      <c r="E8" s="1" t="s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5">
        <v>1.6</v>
      </c>
      <c r="L8" s="3">
        <v>0.625</v>
      </c>
      <c r="M8" s="1">
        <v>1</v>
      </c>
      <c r="N8" s="3">
        <v>0.625</v>
      </c>
      <c r="O8" s="1">
        <v>1</v>
      </c>
      <c r="P8" s="3">
        <v>0.625</v>
      </c>
      <c r="Q8" s="1">
        <v>1</v>
      </c>
      <c r="R8" s="1">
        <v>1</v>
      </c>
      <c r="S8" s="1">
        <v>1</v>
      </c>
      <c r="T8" s="3">
        <v>0.625</v>
      </c>
      <c r="U8" s="1">
        <v>1</v>
      </c>
      <c r="V8" s="4">
        <v>0.39100000000000001</v>
      </c>
      <c r="W8" s="7">
        <v>1.6</v>
      </c>
      <c r="X8" s="1">
        <v>1</v>
      </c>
    </row>
    <row r="9" spans="1:24" x14ac:dyDescent="0.3">
      <c r="A9" s="13" t="str">
        <f>[1]屬性克制表!AQ9</f>
        <v>暗影鳳王</v>
      </c>
      <c r="B9" s="15" t="str">
        <f>[1]屬性克制表!AO9</f>
        <v>火</v>
      </c>
      <c r="C9" s="15">
        <f>[1]屬性克制表!AS9</f>
        <v>18.52</v>
      </c>
      <c r="E9" s="1" t="s">
        <v>8</v>
      </c>
      <c r="F9" s="1">
        <v>1</v>
      </c>
      <c r="G9" s="1">
        <v>1</v>
      </c>
      <c r="H9" s="1">
        <v>1</v>
      </c>
      <c r="I9" s="5">
        <v>1.6</v>
      </c>
      <c r="J9" s="5">
        <v>1.6</v>
      </c>
      <c r="K9" s="3">
        <v>0.625</v>
      </c>
      <c r="L9" s="1">
        <v>1</v>
      </c>
      <c r="M9" s="3">
        <v>0.625</v>
      </c>
      <c r="N9" s="4">
        <v>0.39100000000000001</v>
      </c>
      <c r="O9" s="1">
        <v>1</v>
      </c>
      <c r="P9" s="1">
        <v>1</v>
      </c>
      <c r="Q9" s="1">
        <v>1</v>
      </c>
      <c r="R9" s="1">
        <v>1</v>
      </c>
      <c r="S9" s="3">
        <v>0.625</v>
      </c>
      <c r="T9" s="1">
        <v>1</v>
      </c>
      <c r="U9" s="1">
        <v>1</v>
      </c>
      <c r="V9" s="1">
        <v>1</v>
      </c>
      <c r="W9" s="2">
        <v>1</v>
      </c>
      <c r="X9" s="1">
        <v>1</v>
      </c>
    </row>
    <row r="10" spans="1:24" x14ac:dyDescent="0.3">
      <c r="A10" s="14" t="str">
        <f>[1]屬性克制表!AQ10</f>
        <v>暗影席多藍恩</v>
      </c>
      <c r="B10" s="15" t="str">
        <f>[1]屬性克制表!AO10</f>
        <v>火</v>
      </c>
      <c r="C10" s="15">
        <f>[1]屬性克制表!AS10</f>
        <v>20.82</v>
      </c>
      <c r="E10" s="1" t="s">
        <v>9</v>
      </c>
      <c r="F10" s="1">
        <v>1</v>
      </c>
      <c r="G10" s="5">
        <v>1.6</v>
      </c>
      <c r="H10" s="1">
        <v>1</v>
      </c>
      <c r="I10" s="1">
        <v>1</v>
      </c>
      <c r="J10" s="4">
        <v>0.39100000000000001</v>
      </c>
      <c r="K10" s="3">
        <v>0.625</v>
      </c>
      <c r="L10" s="5">
        <v>1.6</v>
      </c>
      <c r="M10" s="5">
        <v>1.6</v>
      </c>
      <c r="N10" s="1">
        <v>1</v>
      </c>
      <c r="O10" s="1">
        <v>1</v>
      </c>
      <c r="P10" s="5">
        <v>1.6</v>
      </c>
      <c r="Q10" s="1">
        <v>1</v>
      </c>
      <c r="R10" s="3">
        <v>0.625</v>
      </c>
      <c r="S10" s="1">
        <v>1</v>
      </c>
      <c r="T10" s="1">
        <v>1</v>
      </c>
      <c r="U10" s="1">
        <v>1</v>
      </c>
      <c r="V10" s="5">
        <v>1.6</v>
      </c>
      <c r="W10" s="2">
        <v>1</v>
      </c>
      <c r="X10" s="1">
        <v>1</v>
      </c>
    </row>
    <row r="11" spans="1:24" x14ac:dyDescent="0.3">
      <c r="A11" s="13" t="str">
        <f>[1]屬性克制表!AQ11</f>
        <v>席多藍恩</v>
      </c>
      <c r="B11" s="15" t="str">
        <f>[1]屬性克制表!AO11</f>
        <v>火</v>
      </c>
      <c r="C11" s="15">
        <f>[1]屬性克制表!AS11</f>
        <v>17.18</v>
      </c>
      <c r="E11" s="1" t="s">
        <v>10</v>
      </c>
      <c r="F11" s="1">
        <v>1</v>
      </c>
      <c r="G11" s="1">
        <v>1</v>
      </c>
      <c r="H11" s="5">
        <v>1.6</v>
      </c>
      <c r="I11" s="1">
        <v>1</v>
      </c>
      <c r="J11" s="1">
        <v>1</v>
      </c>
      <c r="K11" s="1">
        <v>1</v>
      </c>
      <c r="L11" s="5">
        <v>1.6</v>
      </c>
      <c r="M11" s="1">
        <v>1</v>
      </c>
      <c r="N11" s="1">
        <v>1</v>
      </c>
      <c r="O11" s="3">
        <v>0.625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4">
        <v>0.39100000000000001</v>
      </c>
      <c r="V11" s="3">
        <v>0.625</v>
      </c>
      <c r="W11" s="2">
        <v>1</v>
      </c>
      <c r="X11" s="1">
        <v>1</v>
      </c>
    </row>
    <row r="12" spans="1:24" x14ac:dyDescent="0.3">
      <c r="A12" s="13" t="str">
        <f>[1]屬性克制表!AQ12</f>
        <v>Mega妖火紅狐</v>
      </c>
      <c r="B12" s="15" t="str">
        <f>[1]屬性克制表!AO12</f>
        <v>火</v>
      </c>
      <c r="C12" s="15">
        <f>[1]屬性克制表!AS12</f>
        <v>26.43</v>
      </c>
      <c r="E12" s="1" t="s">
        <v>11</v>
      </c>
      <c r="F12" s="1">
        <v>1</v>
      </c>
      <c r="G12" s="5">
        <v>1.6</v>
      </c>
      <c r="H12" s="3">
        <v>0.625</v>
      </c>
      <c r="I12" s="1">
        <v>1</v>
      </c>
      <c r="J12" s="5">
        <v>1.6</v>
      </c>
      <c r="K12" s="1">
        <v>1</v>
      </c>
      <c r="L12" s="1">
        <v>1</v>
      </c>
      <c r="M12" s="1">
        <v>1</v>
      </c>
      <c r="N12" s="3">
        <v>0.625</v>
      </c>
      <c r="O12" s="1">
        <v>1</v>
      </c>
      <c r="P12" s="1">
        <v>1</v>
      </c>
      <c r="Q12" s="5">
        <v>1.6</v>
      </c>
      <c r="R12" s="5">
        <v>1.6</v>
      </c>
      <c r="S12" s="1">
        <v>1</v>
      </c>
      <c r="T12" s="1">
        <v>1</v>
      </c>
      <c r="U12" s="1">
        <v>1</v>
      </c>
      <c r="V12" s="3">
        <v>0.625</v>
      </c>
      <c r="W12" s="2">
        <v>1</v>
      </c>
      <c r="X12" s="1">
        <v>1</v>
      </c>
    </row>
    <row r="13" spans="1:24" x14ac:dyDescent="0.3">
      <c r="A13" s="14" t="str">
        <f>[1]屬性克制表!AQ13</f>
        <v>噴火龍</v>
      </c>
      <c r="B13" s="15" t="str">
        <f>[1]屬性克制表!AO13</f>
        <v>火</v>
      </c>
      <c r="C13" s="15">
        <f>[1]屬性克制表!AS13</f>
        <v>16.53</v>
      </c>
      <c r="E13" s="1" t="s">
        <v>12</v>
      </c>
      <c r="F13" s="1">
        <v>1</v>
      </c>
      <c r="G13" s="3">
        <v>0.625</v>
      </c>
      <c r="H13" s="1">
        <v>1</v>
      </c>
      <c r="I13" s="3">
        <v>0.625</v>
      </c>
      <c r="J13" s="5">
        <v>1.6</v>
      </c>
      <c r="K13" s="5">
        <v>1.6</v>
      </c>
      <c r="L13" s="1">
        <v>1</v>
      </c>
      <c r="M13" s="1">
        <v>1</v>
      </c>
      <c r="N13" s="5">
        <v>1.6</v>
      </c>
      <c r="O13" s="1">
        <v>1</v>
      </c>
      <c r="P13" s="1">
        <v>1</v>
      </c>
      <c r="Q13" s="3">
        <v>0.625</v>
      </c>
      <c r="R13" s="1">
        <v>1</v>
      </c>
      <c r="S13" s="5">
        <v>1.6</v>
      </c>
      <c r="T13" s="1">
        <v>1</v>
      </c>
      <c r="U13" s="1">
        <v>1</v>
      </c>
      <c r="V13" s="3">
        <v>0.625</v>
      </c>
      <c r="W13" s="2">
        <v>1</v>
      </c>
      <c r="X13" s="1">
        <v>1</v>
      </c>
    </row>
    <row r="14" spans="1:24" x14ac:dyDescent="0.3">
      <c r="A14" s="13" t="str">
        <f>[1]屬性克制表!AQ14</f>
        <v>Mega路卡利歐</v>
      </c>
      <c r="B14" s="15" t="str">
        <f>[1]屬性克制表!AO14</f>
        <v>格鬥</v>
      </c>
      <c r="C14" s="15">
        <f>[1]屬性克制表!AS14</f>
        <v>26.62</v>
      </c>
      <c r="E14" s="1" t="s">
        <v>13</v>
      </c>
      <c r="F14" s="1">
        <v>1</v>
      </c>
      <c r="G14" s="3">
        <v>0.625</v>
      </c>
      <c r="H14" s="3">
        <v>0.625</v>
      </c>
      <c r="I14" s="1">
        <v>1</v>
      </c>
      <c r="J14" s="3">
        <v>0.625</v>
      </c>
      <c r="K14" s="5">
        <v>1.6</v>
      </c>
      <c r="L14" s="3">
        <v>0.625</v>
      </c>
      <c r="M14" s="1">
        <v>1</v>
      </c>
      <c r="N14" s="1">
        <v>1</v>
      </c>
      <c r="O14" s="5">
        <v>1.6</v>
      </c>
      <c r="P14" s="1">
        <v>1</v>
      </c>
      <c r="Q14" s="1">
        <v>1</v>
      </c>
      <c r="R14" s="1">
        <v>1</v>
      </c>
      <c r="S14" s="1">
        <v>1</v>
      </c>
      <c r="T14" s="3">
        <v>0.625</v>
      </c>
      <c r="U14" s="5">
        <v>1.6</v>
      </c>
      <c r="V14" s="3">
        <v>0.625</v>
      </c>
      <c r="W14" s="6">
        <v>0.625</v>
      </c>
      <c r="X14" s="1">
        <v>1</v>
      </c>
    </row>
    <row r="15" spans="1:24" x14ac:dyDescent="0.3">
      <c r="A15" s="13" t="str">
        <f>[1]屬性克制表!AQ15</f>
        <v>Mega超夢X</v>
      </c>
      <c r="B15" s="15" t="str">
        <f>[1]屬性克制表!AO15</f>
        <v>格鬥</v>
      </c>
      <c r="C15" s="15">
        <f>[1]屬性克制表!AS15</f>
        <v>29.67</v>
      </c>
      <c r="E15" s="1" t="s">
        <v>14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5">
        <v>1.6</v>
      </c>
      <c r="T15" s="1">
        <v>1</v>
      </c>
      <c r="U15" s="1">
        <v>1</v>
      </c>
      <c r="V15" s="3">
        <v>0.625</v>
      </c>
      <c r="W15" s="8">
        <v>0.39100000000000001</v>
      </c>
      <c r="X15" s="1">
        <v>1</v>
      </c>
    </row>
    <row r="16" spans="1:24" x14ac:dyDescent="0.3">
      <c r="A16" s="14" t="str">
        <f>[1]屬性克制表!AQ16</f>
        <v>Mega火焰雞</v>
      </c>
      <c r="B16" s="15" t="str">
        <f>[1]屬性克制表!AO16</f>
        <v>格鬥</v>
      </c>
      <c r="C16" s="15">
        <f>[1]屬性克制表!AS16</f>
        <v>25.58</v>
      </c>
      <c r="E16" s="1" t="s">
        <v>15</v>
      </c>
      <c r="F16" s="4">
        <v>0.39100000000000001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5">
        <v>1.6</v>
      </c>
      <c r="P16" s="1">
        <v>1</v>
      </c>
      <c r="Q16" s="1">
        <v>1</v>
      </c>
      <c r="R16" s="1">
        <v>1</v>
      </c>
      <c r="S16" s="1">
        <v>1</v>
      </c>
      <c r="T16" s="5">
        <v>1.6</v>
      </c>
      <c r="U16" s="3">
        <v>0.625</v>
      </c>
      <c r="V16" s="1">
        <v>1</v>
      </c>
      <c r="W16" s="2">
        <v>1</v>
      </c>
      <c r="X16" s="1">
        <v>1</v>
      </c>
    </row>
    <row r="17" spans="1:24" x14ac:dyDescent="0.3">
      <c r="A17" s="14" t="str">
        <f>[1]屬性克制表!AQ17</f>
        <v>暗影火焰雞</v>
      </c>
      <c r="B17" s="15" t="str">
        <f>[1]屬性克制表!AO17</f>
        <v>格鬥</v>
      </c>
      <c r="C17" s="15">
        <f>[1]屬性克制表!AS17</f>
        <v>23.28</v>
      </c>
      <c r="E17" s="1" t="s">
        <v>16</v>
      </c>
      <c r="F17" s="1">
        <v>1</v>
      </c>
      <c r="G17" s="1">
        <v>1</v>
      </c>
      <c r="H17" s="3">
        <v>0.625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5">
        <v>1.6</v>
      </c>
      <c r="P17" s="1">
        <v>1</v>
      </c>
      <c r="Q17" s="1">
        <v>1</v>
      </c>
      <c r="R17" s="1">
        <v>1</v>
      </c>
      <c r="S17" s="1">
        <v>1</v>
      </c>
      <c r="T17" s="5">
        <v>1.6</v>
      </c>
      <c r="U17" s="3">
        <v>0.625</v>
      </c>
      <c r="V17" s="1">
        <v>1</v>
      </c>
      <c r="W17" s="6">
        <v>0.625</v>
      </c>
      <c r="X17" s="1">
        <v>1</v>
      </c>
    </row>
    <row r="18" spans="1:24" x14ac:dyDescent="0.3">
      <c r="A18" s="13" t="str">
        <f>[1]屬性克制表!AQ18</f>
        <v>凱路迪歐(覺悟)</v>
      </c>
      <c r="B18" s="15" t="str">
        <f>[1]屬性克制表!AO18</f>
        <v>格鬥</v>
      </c>
      <c r="C18" s="15">
        <f>[1]屬性克制表!AS18</f>
        <v>22.75</v>
      </c>
      <c r="E18" s="1" t="s">
        <v>17</v>
      </c>
      <c r="F18" s="1">
        <v>1</v>
      </c>
      <c r="G18" s="3">
        <v>0.625</v>
      </c>
      <c r="H18" s="1">
        <v>1</v>
      </c>
      <c r="I18" s="3">
        <v>0.625</v>
      </c>
      <c r="J18" s="1">
        <v>1</v>
      </c>
      <c r="K18" s="1">
        <v>1</v>
      </c>
      <c r="L18" s="1">
        <v>1</v>
      </c>
      <c r="M18" s="3">
        <v>0.625</v>
      </c>
      <c r="N18" s="1">
        <v>1</v>
      </c>
      <c r="O18" s="1">
        <v>1</v>
      </c>
      <c r="P18" s="5">
        <v>1.6</v>
      </c>
      <c r="Q18" s="5">
        <v>1.6</v>
      </c>
      <c r="R18" s="1">
        <v>1</v>
      </c>
      <c r="S18" s="1">
        <v>1</v>
      </c>
      <c r="T18" s="1">
        <v>1</v>
      </c>
      <c r="U18" s="1">
        <v>1</v>
      </c>
      <c r="V18" s="3">
        <v>0.625</v>
      </c>
      <c r="W18" s="7">
        <v>1.6</v>
      </c>
      <c r="X18" s="1">
        <v>1</v>
      </c>
    </row>
    <row r="19" spans="1:24" x14ac:dyDescent="0.3">
      <c r="A19" s="13" t="str">
        <f>[1]屬性克制表!AQ19</f>
        <v>Mega赫拉克羅斯</v>
      </c>
      <c r="B19" s="15" t="str">
        <f>[1]屬性克制表!AO19</f>
        <v>格鬥</v>
      </c>
      <c r="C19" s="15">
        <f>[1]屬性克制表!AS19</f>
        <v>19.66</v>
      </c>
      <c r="E19" s="9" t="s">
        <v>18</v>
      </c>
      <c r="F19" s="9">
        <v>1</v>
      </c>
      <c r="G19" s="10">
        <v>0.625</v>
      </c>
      <c r="H19" s="9">
        <v>1</v>
      </c>
      <c r="I19" s="9">
        <v>1</v>
      </c>
      <c r="J19" s="9">
        <v>1</v>
      </c>
      <c r="K19" s="9">
        <v>1</v>
      </c>
      <c r="L19" s="10">
        <v>0.625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11">
        <v>1.6</v>
      </c>
      <c r="T19" s="9">
        <v>1</v>
      </c>
      <c r="U19" s="11">
        <v>1.6</v>
      </c>
      <c r="V19" s="10">
        <v>0.625</v>
      </c>
      <c r="W19" s="12">
        <v>1</v>
      </c>
      <c r="X19" s="1">
        <v>1</v>
      </c>
    </row>
    <row r="20" spans="1:24" x14ac:dyDescent="0.3">
      <c r="A20" s="13" t="str">
        <f>[1]屬性克制表!AQ20</f>
        <v>代拉基翁</v>
      </c>
      <c r="B20" s="15" t="str">
        <f>[1]屬性克制表!AO20</f>
        <v>格鬥</v>
      </c>
      <c r="C20" s="15">
        <f>[1]屬性克制表!AS20</f>
        <v>19.309999999999999</v>
      </c>
      <c r="E20" s="1" t="s">
        <v>19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</row>
    <row r="21" spans="1:24" x14ac:dyDescent="0.3">
      <c r="A21" s="14" t="str">
        <f>[1]屬性克制表!AQ21</f>
        <v>路卡利歐</v>
      </c>
      <c r="B21" s="15" t="str">
        <f>[1]屬性克制表!AO21</f>
        <v>格鬥</v>
      </c>
      <c r="C21" s="15">
        <f>[1]屬性克制表!AS21</f>
        <v>20.88</v>
      </c>
    </row>
    <row r="22" spans="1:24" x14ac:dyDescent="0.3">
      <c r="A22" s="13" t="str">
        <f>[1]屬性克制表!AQ22</f>
        <v>Mega列陣兵</v>
      </c>
      <c r="B22" s="15" t="str">
        <f>[1]屬性克制表!AO22</f>
        <v>格鬥</v>
      </c>
      <c r="C22" s="15">
        <f>[1]屬性克制表!AS22</f>
        <v>16.399999999999999</v>
      </c>
    </row>
    <row r="23" spans="1:24" x14ac:dyDescent="0.3">
      <c r="A23" s="13" t="str">
        <f>[1]屬性克制表!AQ23</f>
        <v>怪力</v>
      </c>
      <c r="B23" s="15" t="str">
        <f>[1]屬性克制表!AO23</f>
        <v>格鬥</v>
      </c>
      <c r="C23" s="15">
        <f>[1]屬性克制表!AS23</f>
        <v>16.95</v>
      </c>
    </row>
    <row r="24" spans="1:24" x14ac:dyDescent="0.3">
      <c r="A24" s="14" t="str">
        <f>[1]屬性克制表!AQ24</f>
        <v>鐵掌力士</v>
      </c>
      <c r="B24" s="15" t="str">
        <f>[1]屬性克制表!AO24</f>
        <v>格鬥</v>
      </c>
      <c r="C24" s="15">
        <f>[1]屬性克制表!AS24</f>
        <v>15.5</v>
      </c>
    </row>
    <row r="25" spans="1:24" x14ac:dyDescent="0.3">
      <c r="A25" s="14" t="str">
        <f>[1]屬性克制表!AQ25</f>
        <v>Mega艾路雷朵</v>
      </c>
      <c r="B25" s="15" t="str">
        <f>[1]屬性克制表!AO25</f>
        <v>格鬥</v>
      </c>
      <c r="C25" s="15">
        <f>[1]屬性克制表!AS25</f>
        <v>17.690000000000001</v>
      </c>
    </row>
    <row r="26" spans="1:24" x14ac:dyDescent="0.3">
      <c r="A26" s="13" t="str">
        <f>[1]屬性克制表!AQ26</f>
        <v>勾帕路翁</v>
      </c>
      <c r="B26" s="15" t="str">
        <f>[1]屬性克制表!AO26</f>
        <v>格鬥</v>
      </c>
      <c r="C26" s="15">
        <f>[1]屬性克制表!AS26</f>
        <v>14.49</v>
      </c>
    </row>
    <row r="27" spans="1:24" x14ac:dyDescent="0.3">
      <c r="A27" s="13" t="str">
        <f>[1]屬性克制表!AQ27</f>
        <v>畢力吉翁</v>
      </c>
      <c r="B27" s="15" t="str">
        <f>[1]屬性克制表!AO27</f>
        <v>格鬥</v>
      </c>
      <c r="C27" s="15">
        <f>[1]屬性克制表!AS27</f>
        <v>14.49</v>
      </c>
    </row>
    <row r="28" spans="1:24" x14ac:dyDescent="0.3">
      <c r="A28" s="14" t="str">
        <f>[1]屬性克制表!AQ28</f>
        <v>艾路雷朵</v>
      </c>
      <c r="B28" s="15" t="str">
        <f>[1]屬性克制表!AO28</f>
        <v>格鬥</v>
      </c>
      <c r="C28" s="15">
        <f>[1]屬性克制表!AS28</f>
        <v>13.34</v>
      </c>
    </row>
    <row r="29" spans="1:24" x14ac:dyDescent="0.3">
      <c r="A29" s="13" t="str">
        <f>[1]屬性克制表!AQ29</f>
        <v>爆肌蚊</v>
      </c>
      <c r="B29" s="15" t="str">
        <f>[1]屬性克制表!AO29</f>
        <v>格鬥</v>
      </c>
      <c r="C29" s="15">
        <f>[1]屬性克制表!AS29</f>
        <v>14.84</v>
      </c>
    </row>
    <row r="30" spans="1:24" x14ac:dyDescent="0.3">
      <c r="A30" s="13" t="str">
        <f>[1]屬性克制表!AQ30</f>
        <v>原始蓋歐卡</v>
      </c>
      <c r="B30" s="15" t="str">
        <f>[1]屬性克制表!AO30</f>
        <v>水</v>
      </c>
      <c r="C30" s="15">
        <f>[1]屬性克制表!AS30</f>
        <v>22.2</v>
      </c>
    </row>
    <row r="31" spans="1:24" x14ac:dyDescent="0.3">
      <c r="A31" s="14" t="str">
        <f>[1]屬性克制表!AQ31</f>
        <v>暗影蓋歐卡</v>
      </c>
      <c r="B31" s="15" t="str">
        <f>[1]屬性克制表!AO31</f>
        <v>水</v>
      </c>
      <c r="C31" s="15">
        <f>[1]屬性克制表!AS31</f>
        <v>20.88</v>
      </c>
    </row>
    <row r="32" spans="1:24" x14ac:dyDescent="0.3">
      <c r="A32" s="13" t="str">
        <f>[1]屬性克制表!AQ32</f>
        <v>Mega巨沼怪</v>
      </c>
      <c r="B32" s="15" t="str">
        <f>[1]屬性克制表!AO32</f>
        <v>水</v>
      </c>
      <c r="C32" s="15">
        <f>[1]屬性克制表!AS32</f>
        <v>19.940000000000001</v>
      </c>
    </row>
    <row r="33" spans="1:3" x14ac:dyDescent="0.3">
      <c r="A33" s="16" t="str">
        <f>[1]屬性克制表!AQ33</f>
        <v>Mega寶石海星</v>
      </c>
      <c r="B33" s="15" t="str">
        <f>[1]屬性克制表!AO33</f>
        <v>水</v>
      </c>
      <c r="C33" s="15">
        <f>[1]屬性克制表!AS33</f>
        <v>23.38</v>
      </c>
    </row>
    <row r="34" spans="1:3" x14ac:dyDescent="0.3">
      <c r="A34" s="14" t="str">
        <f>[1]屬性克制表!AQ34</f>
        <v>Mega甲賀忍蛙</v>
      </c>
      <c r="B34" s="15" t="str">
        <f>[1]屬性克制表!AO34</f>
        <v>水</v>
      </c>
      <c r="C34" s="15">
        <f>[1]屬性克制表!AS34</f>
        <v>25.55</v>
      </c>
    </row>
    <row r="35" spans="1:3" x14ac:dyDescent="0.3">
      <c r="A35" s="14" t="str">
        <f>[1]屬性克制表!AQ35</f>
        <v>暗影甲賀忍蛙</v>
      </c>
      <c r="B35" s="15" t="str">
        <f>[1]屬性克制表!AO35</f>
        <v>水</v>
      </c>
      <c r="C35" s="15">
        <f>[1]屬性克制表!AS35</f>
        <v>20.79</v>
      </c>
    </row>
    <row r="36" spans="1:3" x14ac:dyDescent="0.3">
      <c r="A36" s="14" t="str">
        <f>[1]屬性克制表!AQ36</f>
        <v>暗影巨鉗蟹</v>
      </c>
      <c r="B36" s="15" t="str">
        <f>[1]屬性克制表!AO36</f>
        <v>水</v>
      </c>
      <c r="C36" s="15">
        <f>[1]屬性克制表!AS36</f>
        <v>20.46</v>
      </c>
    </row>
    <row r="37" spans="1:3" x14ac:dyDescent="0.3">
      <c r="A37" s="13" t="str">
        <f>[1]屬性克制表!AQ37</f>
        <v>暗影帝王拿波</v>
      </c>
      <c r="B37" s="15" t="str">
        <f>[1]屬性克制表!AO37</f>
        <v>水</v>
      </c>
      <c r="C37" s="15">
        <f>[1]屬性克制表!AS37</f>
        <v>18.23</v>
      </c>
    </row>
    <row r="38" spans="1:3" x14ac:dyDescent="0.3">
      <c r="A38" s="13" t="str">
        <f>[1]屬性克制表!AQ38</f>
        <v>千面避役</v>
      </c>
      <c r="B38" s="15" t="str">
        <f>[1]屬性克制表!AO38</f>
        <v>水</v>
      </c>
      <c r="C38" s="15">
        <f>[1]屬性克制表!AS38</f>
        <v>19.23</v>
      </c>
    </row>
    <row r="39" spans="1:3" x14ac:dyDescent="0.3">
      <c r="A39" s="14" t="str">
        <f>[1]屬性克制表!AQ39</f>
        <v>Mega水箭龜</v>
      </c>
      <c r="B39" s="15" t="str">
        <f>[1]屬性克制表!AO39</f>
        <v>水</v>
      </c>
      <c r="C39" s="15">
        <f>[1]屬性克制表!AS39</f>
        <v>18.52</v>
      </c>
    </row>
    <row r="40" spans="1:3" x14ac:dyDescent="0.3">
      <c r="A40" s="14" t="str">
        <f>[1]屬性克制表!AQ40</f>
        <v>暗影巨沼怪</v>
      </c>
      <c r="B40" s="15" t="str">
        <f>[1]屬性克制表!AO40</f>
        <v>水</v>
      </c>
      <c r="C40" s="15">
        <f>[1]屬性克制表!AS40</f>
        <v>18.62</v>
      </c>
    </row>
    <row r="41" spans="1:3" x14ac:dyDescent="0.3">
      <c r="A41" s="14" t="str">
        <f>[1]屬性克制表!AQ41</f>
        <v>Mega暴鯉龍</v>
      </c>
      <c r="B41" s="15" t="str">
        <f>[1]屬性克制表!AO41</f>
        <v>水</v>
      </c>
      <c r="C41" s="15">
        <f>[1]屬性克制表!AS41</f>
        <v>17.28</v>
      </c>
    </row>
    <row r="42" spans="1:3" x14ac:dyDescent="0.3">
      <c r="A42" s="13" t="str">
        <f>[1]屬性克制表!AQ42</f>
        <v>蓋歐卡</v>
      </c>
      <c r="B42" s="15" t="str">
        <f>[1]屬性克制表!AO42</f>
        <v>水</v>
      </c>
      <c r="C42" s="15">
        <f>[1]屬性克制表!AS42</f>
        <v>17.350000000000001</v>
      </c>
    </row>
    <row r="43" spans="1:3" x14ac:dyDescent="0.3">
      <c r="A43" s="14" t="str">
        <f>[1]屬性克制表!AQ43</f>
        <v>狂歡浪舞鴨</v>
      </c>
      <c r="B43" s="15" t="str">
        <f>[1]屬性克制表!AO43</f>
        <v>水</v>
      </c>
      <c r="C43" s="15">
        <f>[1]屬性克制表!AS43</f>
        <v>17.25</v>
      </c>
    </row>
    <row r="44" spans="1:3" x14ac:dyDescent="0.3">
      <c r="A44" s="14" t="str">
        <f>[1]屬性克制表!AQ44</f>
        <v>西獅海壬</v>
      </c>
      <c r="B44" s="15" t="str">
        <f>[1]屬性克制表!AO44</f>
        <v>水</v>
      </c>
      <c r="C44" s="15">
        <f>[1]屬性克制表!AS44</f>
        <v>16.36</v>
      </c>
    </row>
    <row r="45" spans="1:3" x14ac:dyDescent="0.3">
      <c r="A45" s="13" t="str">
        <f>[1]屬性克制表!AQ45</f>
        <v>大劍鬼</v>
      </c>
      <c r="B45" s="15" t="str">
        <f>[1]屬性克制表!AO45</f>
        <v>水</v>
      </c>
      <c r="C45" s="15">
        <f>[1]屬性克制表!AS45</f>
        <v>15.41</v>
      </c>
    </row>
    <row r="46" spans="1:3" x14ac:dyDescent="0.3">
      <c r="A46" s="14" t="str">
        <f>[1]屬性克制表!AQ46</f>
        <v>甲賀忍蛙</v>
      </c>
      <c r="B46" s="15" t="str">
        <f>[1]屬性克制表!AO46</f>
        <v>水</v>
      </c>
      <c r="C46" s="15">
        <f>[1]屬性克制表!AS46</f>
        <v>17.14</v>
      </c>
    </row>
    <row r="47" spans="1:3" x14ac:dyDescent="0.3">
      <c r="A47" s="14" t="str">
        <f>[1]屬性克制表!AQ47</f>
        <v>巨鉗蟹</v>
      </c>
      <c r="B47" s="15" t="str">
        <f>[1]屬性克制表!AO47</f>
        <v>水</v>
      </c>
      <c r="C47" s="15">
        <f>[1]屬性克制表!AS47</f>
        <v>16.920000000000002</v>
      </c>
    </row>
    <row r="48" spans="1:3" x14ac:dyDescent="0.3">
      <c r="A48" s="14" t="str">
        <f>[1]屬性克制表!AQ48</f>
        <v>大力鱷</v>
      </c>
      <c r="B48" s="15" t="str">
        <f>[1]屬性克制表!AO48</f>
        <v>水</v>
      </c>
      <c r="C48" s="15">
        <f>[1]屬性克制表!AS48</f>
        <v>15.02</v>
      </c>
    </row>
    <row r="49" spans="1:3" x14ac:dyDescent="0.3">
      <c r="A49" s="14" t="str">
        <f>[1]屬性克制表!AQ49</f>
        <v>帝王拿波</v>
      </c>
      <c r="B49" s="15" t="str">
        <f>[1]屬性克制表!AO49</f>
        <v>水</v>
      </c>
      <c r="C49" s="15">
        <f>[1]屬性克制表!AS49</f>
        <v>15.01</v>
      </c>
    </row>
    <row r="50" spans="1:3" x14ac:dyDescent="0.3">
      <c r="A50" s="14" t="str">
        <f>[1]屬性克制表!AQ50</f>
        <v>Mega烈空坐</v>
      </c>
      <c r="B50" s="15" t="str">
        <f>[1]屬性克制表!AO50</f>
        <v>飛行</v>
      </c>
      <c r="C50" s="15">
        <f>[1]屬性克制表!AS50</f>
        <v>28.54</v>
      </c>
    </row>
    <row r="51" spans="1:3" x14ac:dyDescent="0.3">
      <c r="A51" s="13" t="str">
        <f>[1]屬性克制表!AQ51</f>
        <v>暗影暴飛龍</v>
      </c>
      <c r="B51" s="15" t="str">
        <f>[1]屬性克制表!AO51</f>
        <v>飛行</v>
      </c>
      <c r="C51" s="15">
        <f>[1]屬性克制表!AS51</f>
        <v>25.25</v>
      </c>
    </row>
    <row r="52" spans="1:3" x14ac:dyDescent="0.3">
      <c r="A52" s="14" t="str">
        <f>[1]屬性克制表!AQ52</f>
        <v>Mega大比鳥</v>
      </c>
      <c r="B52" s="15" t="str">
        <f>[1]屬性克制表!AO52</f>
        <v>飛行</v>
      </c>
      <c r="C52" s="15">
        <f>[1]屬性克制表!AS52</f>
        <v>20.38</v>
      </c>
    </row>
    <row r="53" spans="1:3" x14ac:dyDescent="0.3">
      <c r="A53" s="14" t="str">
        <f>[1]屬性克制表!AQ53</f>
        <v>銃嘴大鳥</v>
      </c>
      <c r="B53" s="15" t="str">
        <f>[1]屬性克制表!AO53</f>
        <v>飛行</v>
      </c>
      <c r="C53" s="15">
        <f>[1]屬性克制表!AS53</f>
        <v>18.850000000000001</v>
      </c>
    </row>
    <row r="54" spans="1:3" x14ac:dyDescent="0.3">
      <c r="A54" s="14" t="str">
        <f>[1]屬性克制表!AQ54</f>
        <v>烈空坐</v>
      </c>
      <c r="B54" s="15" t="str">
        <f>[1]屬性克制表!AO54</f>
        <v>飛行</v>
      </c>
      <c r="C54" s="15">
        <f>[1]屬性克制表!AS54</f>
        <v>22.2</v>
      </c>
    </row>
    <row r="55" spans="1:3" x14ac:dyDescent="0.3">
      <c r="A55" s="13" t="str">
        <f>[1]屬性克制表!AQ55</f>
        <v>暴飛龍</v>
      </c>
      <c r="B55" s="15" t="str">
        <f>[1]屬性克制表!AO55</f>
        <v>飛行</v>
      </c>
      <c r="C55" s="15">
        <f>[1]屬性克制表!AS55</f>
        <v>20.77</v>
      </c>
    </row>
    <row r="56" spans="1:3" x14ac:dyDescent="0.3">
      <c r="A56" s="14" t="str">
        <f>[1]屬性克制表!AQ56</f>
        <v>Mega暴飛龍</v>
      </c>
      <c r="B56" s="15" t="str">
        <f>[1]屬性克制表!AO56</f>
        <v>飛行</v>
      </c>
      <c r="C56" s="15">
        <f>[1]屬性克制表!AS56</f>
        <v>22.47</v>
      </c>
    </row>
    <row r="57" spans="1:3" x14ac:dyDescent="0.3">
      <c r="A57" s="14" t="str">
        <f>[1]屬性克制表!AQ57</f>
        <v>伊裴爾塔爾</v>
      </c>
      <c r="B57" s="15" t="str">
        <f>[1]屬性克制表!AO57</f>
        <v>飛行</v>
      </c>
      <c r="C57" s="15">
        <f>[1]屬性克制表!AS57</f>
        <v>18.07</v>
      </c>
    </row>
    <row r="58" spans="1:3" x14ac:dyDescent="0.3">
      <c r="A58" s="14" t="str">
        <f>[1]屬性克制表!AQ58</f>
        <v>洛奇亞</v>
      </c>
      <c r="B58" s="15" t="str">
        <f>[1]屬性克制表!AO58</f>
        <v>飛行</v>
      </c>
      <c r="C58" s="15">
        <f>[1]屬性克制表!AS58</f>
        <v>16.57</v>
      </c>
    </row>
    <row r="59" spans="1:3" x14ac:dyDescent="0.3">
      <c r="A59" s="14" t="str">
        <f>[1]屬性克制表!AQ59</f>
        <v>Mega布里卡農</v>
      </c>
      <c r="B59" s="15" t="str">
        <f>[1]屬性克制表!AO59</f>
        <v>草</v>
      </c>
      <c r="C59" s="15">
        <f>[1]屬性克制表!AS59</f>
        <v>21.44</v>
      </c>
    </row>
    <row r="60" spans="1:3" x14ac:dyDescent="0.3">
      <c r="A60" s="14" t="str">
        <f>[1]屬性克制表!AQ60</f>
        <v>Mega蜥蜴王</v>
      </c>
      <c r="B60" s="15" t="str">
        <f>[1]屬性克制表!AO60</f>
        <v>草</v>
      </c>
      <c r="C60" s="15">
        <f>[1]屬性克制表!AS60</f>
        <v>21.84</v>
      </c>
    </row>
    <row r="61" spans="1:3" x14ac:dyDescent="0.3">
      <c r="A61" s="14" t="str">
        <f>[1]屬性克制表!AQ61</f>
        <v>暗影蜥蜴王</v>
      </c>
      <c r="B61" s="15" t="str">
        <f>[1]屬性克制表!AO61</f>
        <v>草</v>
      </c>
      <c r="C61" s="15">
        <f>[1]屬性克制表!AS61</f>
        <v>19.09</v>
      </c>
    </row>
    <row r="62" spans="1:3" x14ac:dyDescent="0.3">
      <c r="A62" s="14" t="str">
        <f>[1]屬性克制表!AQ62</f>
        <v>紙御劍</v>
      </c>
      <c r="B62" s="15" t="str">
        <f>[1]屬性克制表!AO62</f>
        <v>草</v>
      </c>
      <c r="C62" s="15">
        <f>[1]屬性克制表!AS62</f>
        <v>20.04</v>
      </c>
    </row>
    <row r="63" spans="1:3" x14ac:dyDescent="0.3">
      <c r="A63" s="14" t="str">
        <f>[1]屬性克制表!AQ63</f>
        <v>Mega妙蛙花</v>
      </c>
      <c r="B63" s="15" t="str">
        <f>[1]屬性克制表!AO63</f>
        <v>草</v>
      </c>
      <c r="C63" s="15">
        <f>[1]屬性克制表!AS63</f>
        <v>17.899999999999999</v>
      </c>
    </row>
    <row r="64" spans="1:3" x14ac:dyDescent="0.3">
      <c r="A64" s="14" t="str">
        <f>[1]屬性克制表!AQ64</f>
        <v>魔幻假面喵</v>
      </c>
      <c r="B64" s="15" t="str">
        <f>[1]屬性克制表!AO64</f>
        <v>草</v>
      </c>
      <c r="C64" s="15">
        <f>[1]屬性克制表!AS64</f>
        <v>17.04</v>
      </c>
    </row>
    <row r="65" spans="1:3" x14ac:dyDescent="0.3">
      <c r="A65" s="14" t="str">
        <f>[1]屬性克制表!AQ65</f>
        <v>薩戮德</v>
      </c>
      <c r="B65" s="15" t="str">
        <f>[1]屬性克制表!AO65</f>
        <v>草</v>
      </c>
      <c r="C65" s="15">
        <f>[1]屬性克制表!AS65</f>
        <v>17</v>
      </c>
    </row>
    <row r="66" spans="1:3" x14ac:dyDescent="0.3">
      <c r="A66" s="14" t="str">
        <f>[1]屬性克制表!AQ66</f>
        <v>轟擂金剛猩</v>
      </c>
      <c r="B66" s="15" t="str">
        <f>[1]屬性克制表!AO66</f>
        <v>草</v>
      </c>
      <c r="C66" s="15">
        <f>[1]屬性克制表!AS66</f>
        <v>17.09</v>
      </c>
    </row>
    <row r="67" spans="1:3" x14ac:dyDescent="0.3">
      <c r="A67" s="14" t="str">
        <f>[1]屬性克制表!AQ67</f>
        <v>謝米</v>
      </c>
      <c r="B67" s="15" t="str">
        <f>[1]屬性克制表!AO67</f>
        <v>草</v>
      </c>
      <c r="C67" s="15">
        <f>[1]屬性克制表!AS67</f>
        <v>18.16</v>
      </c>
    </row>
    <row r="68" spans="1:3" x14ac:dyDescent="0.3">
      <c r="A68" s="14" t="str">
        <f>[1]屬性克制表!AQ68</f>
        <v>無極汰那</v>
      </c>
      <c r="B68" s="15" t="str">
        <f>[1]屬性克制表!AO68</f>
        <v>毒</v>
      </c>
      <c r="C68" s="15">
        <f>[1]屬性克制表!AS68</f>
        <v>18.61</v>
      </c>
    </row>
    <row r="69" spans="1:3" x14ac:dyDescent="0.3">
      <c r="A69" s="14" t="str">
        <f>[1]屬性克制表!AQ69</f>
        <v>Mega耿鬼</v>
      </c>
      <c r="B69" s="15" t="str">
        <f>[1]屬性克制表!AO69</f>
        <v>毒</v>
      </c>
      <c r="C69" s="15">
        <f>[1]屬性克制表!AS69</f>
        <v>18.29</v>
      </c>
    </row>
    <row r="70" spans="1:3" x14ac:dyDescent="0.3">
      <c r="A70" s="14" t="str">
        <f>[1]屬性克制表!AQ70</f>
        <v>Mega大針鋒</v>
      </c>
      <c r="B70" s="15" t="str">
        <f>[1]屬性克制表!AO70</f>
        <v>毒</v>
      </c>
      <c r="C70" s="15">
        <f>[1]屬性克制表!AS70</f>
        <v>20.16</v>
      </c>
    </row>
    <row r="71" spans="1:3" x14ac:dyDescent="0.3">
      <c r="A71" s="14" t="str">
        <f>[1]屬性克制表!AQ71</f>
        <v>Mega大食花</v>
      </c>
      <c r="B71" s="15" t="str">
        <f>[1]屬性克制表!AO71</f>
        <v>毒</v>
      </c>
      <c r="C71" s="15">
        <f>[1]屬性克制表!AS71</f>
        <v>21.31</v>
      </c>
    </row>
    <row r="72" spans="1:3" x14ac:dyDescent="0.3">
      <c r="A72" s="14" t="str">
        <f>[1]屬性克制表!AQ72</f>
        <v>暗影妙蛙花</v>
      </c>
      <c r="B72" s="15" t="str">
        <f>[1]屬性克制表!AO72</f>
        <v>毒</v>
      </c>
      <c r="C72" s="15">
        <f>[1]屬性克制表!AS72</f>
        <v>16.55</v>
      </c>
    </row>
    <row r="73" spans="1:3" x14ac:dyDescent="0.3">
      <c r="A73" s="14" t="str">
        <f>[1]屬性克制表!AQ73</f>
        <v>Mega妙蛙花</v>
      </c>
      <c r="B73" s="15" t="str">
        <f>[1]屬性克制表!AO73</f>
        <v>毒</v>
      </c>
      <c r="C73" s="15">
        <f>[1]屬性克制表!AS73</f>
        <v>16.16</v>
      </c>
    </row>
    <row r="74" spans="1:3" x14ac:dyDescent="0.3">
      <c r="A74" s="14" t="str">
        <f>[1]屬性克制表!AQ74</f>
        <v>虛吾伊德</v>
      </c>
      <c r="B74" s="15" t="str">
        <f>[1]屬性克制表!AO74</f>
        <v>毒</v>
      </c>
      <c r="C74" s="15">
        <f>[1]屬性克制表!AS74</f>
        <v>16.670000000000002</v>
      </c>
    </row>
    <row r="75" spans="1:3" x14ac:dyDescent="0.3">
      <c r="A75" s="14" t="str">
        <f>[1]屬性克制表!AQ75</f>
        <v>四顎針龍</v>
      </c>
      <c r="B75" s="15" t="str">
        <f>[1]屬性克制表!AO75</f>
        <v>毒</v>
      </c>
      <c r="C75" s="15">
        <f>[1]屬性克制表!AS75</f>
        <v>17.66</v>
      </c>
    </row>
    <row r="76" spans="1:3" x14ac:dyDescent="0.3">
      <c r="A76" s="14" t="str">
        <f>IF([1]屬性克制表!AQ76 = "", "", [1]屬性克制表!AQ76)</f>
        <v>萬針魚</v>
      </c>
      <c r="B76" s="15" t="str">
        <f>[1]屬性克制表!AO76</f>
        <v>毒</v>
      </c>
      <c r="C76" s="14">
        <f>IF([1]屬性克制表!AS76 = "", "", [1]屬性克制表!AS76)</f>
        <v>15.11</v>
      </c>
    </row>
    <row r="77" spans="1:3" x14ac:dyDescent="0.3">
      <c r="A77" s="14" t="str">
        <f>IF([1]屬性克制表!AQ77 = "", "", [1]屬性克制表!AQ77)</f>
        <v>毒骷蛙</v>
      </c>
      <c r="B77" s="15" t="str">
        <f>[1]屬性克制表!AO77</f>
        <v>毒</v>
      </c>
      <c r="C77" s="14">
        <f>IF([1]屬性克制表!AS77 = "", "", [1]屬性克制表!AS77)</f>
        <v>14.66</v>
      </c>
    </row>
    <row r="78" spans="1:3" x14ac:dyDescent="0.3">
      <c r="A78" s="14" t="str">
        <f>IF([1]屬性克制表!AQ78 = "", "", [1]屬性克制表!AQ78)</f>
        <v>捷拉奧拉</v>
      </c>
      <c r="B78" s="15" t="str">
        <f>[1]屬性克制表!AO78</f>
        <v>電</v>
      </c>
      <c r="C78" s="14">
        <f>IF([1]屬性克制表!AS78 = "", "", [1]屬性克制表!AS78)</f>
        <v>20.02</v>
      </c>
    </row>
    <row r="79" spans="1:3" x14ac:dyDescent="0.3">
      <c r="A79" s="14" t="str">
        <f>IF([1]屬性克制表!AQ79 = "", "", [1]屬性克制表!AQ79)</f>
        <v>Mega雷丘Y</v>
      </c>
      <c r="B79" s="15" t="str">
        <f>[1]屬性克制表!AO79</f>
        <v>電</v>
      </c>
      <c r="C79" s="14">
        <f>IF([1]屬性克制表!AS79 = "", "", [1]屬性克制表!AS79)</f>
        <v>27.27</v>
      </c>
    </row>
    <row r="80" spans="1:3" x14ac:dyDescent="0.3">
      <c r="A80" s="14" t="str">
        <f>IF([1]屬性克制表!AQ80 = "", "", [1]屬性克制表!AQ80)</f>
        <v>Mega雷丘X</v>
      </c>
      <c r="B80" s="15" t="str">
        <f>[1]屬性克制表!AO80</f>
        <v>電</v>
      </c>
      <c r="C80" s="14">
        <f>IF([1]屬性克制表!AS80 = "", "", [1]屬性克制表!AS80)</f>
        <v>23.55</v>
      </c>
    </row>
    <row r="81" spans="1:3" x14ac:dyDescent="0.3">
      <c r="A81" s="14" t="str">
        <f>IF([1]屬性克制表!AQ81 = "", "", [1]屬性克制表!AQ81)</f>
        <v>暗影雷公</v>
      </c>
      <c r="B81" s="15" t="str">
        <f>[1]屬性克制表!AO81</f>
        <v>電</v>
      </c>
      <c r="C81" s="14">
        <f>IF([1]屬性克制表!AS81 = "", "", [1]屬性克制表!AS81)</f>
        <v>20.05</v>
      </c>
    </row>
    <row r="82" spans="1:3" x14ac:dyDescent="0.3">
      <c r="A82" s="14" t="str">
        <f>IF([1]屬性克制表!AQ82 = "", "", [1]屬性克制表!AQ82)</f>
        <v>雷電雲-靈獸形態</v>
      </c>
      <c r="B82" s="15" t="str">
        <f>[1]屬性克制表!AO82</f>
        <v>電</v>
      </c>
      <c r="C82" s="14">
        <f>IF([1]屬性克制表!AS82 = "", "", [1]屬性克制表!AS82)</f>
        <v>19.899999999999999</v>
      </c>
    </row>
    <row r="83" spans="1:3" x14ac:dyDescent="0.3">
      <c r="A83" s="14" t="str">
        <f>IF([1]屬性克制表!AQ83 = "", "", [1]屬性克制表!AQ83)</f>
        <v>Mega雷電獸</v>
      </c>
      <c r="B83" s="15" t="str">
        <f>[1]屬性克制表!AO83</f>
        <v>電</v>
      </c>
      <c r="C83" s="14">
        <f>IF([1]屬性克制表!AS83 = "", "", [1]屬性克制表!AS83)</f>
        <v>19.61</v>
      </c>
    </row>
    <row r="84" spans="1:3" x14ac:dyDescent="0.3">
      <c r="A84" s="14" t="str">
        <f>IF([1]屬性克制表!AQ84 = "", "", [1]屬性克制表!AQ84)</f>
        <v>Mega電龍</v>
      </c>
      <c r="B84" s="15" t="str">
        <f>[1]屬性克制表!AO84</f>
        <v>電</v>
      </c>
      <c r="C84" s="14">
        <f>IF([1]屬性克制表!AS84 = "", "", [1]屬性克制表!AS84)</f>
        <v>17.29</v>
      </c>
    </row>
    <row r="85" spans="1:3" x14ac:dyDescent="0.3">
      <c r="A85" s="14" t="str">
        <f>IF([1]屬性克制表!AQ85 = "", "", [1]屬性克制表!AQ85)</f>
        <v>電擊魔獸</v>
      </c>
      <c r="B85" s="15" t="str">
        <f>[1]屬性克制表!AO85</f>
        <v>電</v>
      </c>
      <c r="C85" s="14">
        <f>IF([1]屬性克制表!AS85 = "", "", [1]屬性克制表!AS85)</f>
        <v>17.2</v>
      </c>
    </row>
    <row r="86" spans="1:3" x14ac:dyDescent="0.3">
      <c r="A86" s="14" t="str">
        <f>IF([1]屬性克制表!AQ86 = "", "", [1]屬性克制表!AQ86)</f>
        <v>閃電鳥</v>
      </c>
      <c r="B86" s="15" t="str">
        <f>[1]屬性克制表!AO86</f>
        <v>電</v>
      </c>
      <c r="C86" s="14">
        <f>IF([1]屬性克制表!AS86 = "", "", [1]屬性克制表!AS86)</f>
        <v>15.91</v>
      </c>
    </row>
    <row r="87" spans="1:3" x14ac:dyDescent="0.3">
      <c r="A87" s="14" t="str">
        <f>IF([1]屬性克制表!AQ87 = "", "", [1]屬性克制表!AQ87)</f>
        <v>自爆磁怪</v>
      </c>
      <c r="B87" s="15" t="str">
        <f>[1]屬性克制表!AO87</f>
        <v>電</v>
      </c>
      <c r="C87" s="14">
        <f>IF([1]屬性克制表!AS87 = "", "", [1]屬性克制表!AS87)</f>
        <v>15.81</v>
      </c>
    </row>
    <row r="88" spans="1:3" x14ac:dyDescent="0.3">
      <c r="A88" s="14" t="str">
        <f>IF([1]屬性克制表!AQ88 = "", "", [1]屬性克制表!AQ88)</f>
        <v>雷吉艾勒奇</v>
      </c>
      <c r="B88" s="15" t="str">
        <f>[1]屬性克制表!AO88</f>
        <v>電</v>
      </c>
      <c r="C88" s="14">
        <f>IF([1]屬性克制表!AS88 = "", "", [1]屬性克制表!AS88)</f>
        <v>22.98</v>
      </c>
    </row>
    <row r="89" spans="1:3" x14ac:dyDescent="0.3">
      <c r="A89" s="14" t="str">
        <f>IF([1]屬性克制表!AQ89 = "", "", [1]屬性克制表!AQ89)</f>
        <v>電束木</v>
      </c>
      <c r="B89" s="15" t="str">
        <f>[1]屬性克制表!AO89</f>
        <v>電</v>
      </c>
      <c r="C89" s="14">
        <f>IF([1]屬性克制表!AS89 = "", "", [1]屬性克制表!AS89)</f>
        <v>20</v>
      </c>
    </row>
    <row r="90" spans="1:3" x14ac:dyDescent="0.3">
      <c r="A90" s="14" t="str">
        <f>IF([1]屬性克制表!AQ90 = "", "", [1]屬性克制表!AQ90)</f>
        <v>捷克羅姆</v>
      </c>
      <c r="B90" s="15" t="str">
        <f>[1]屬性克制表!AO90</f>
        <v>電</v>
      </c>
      <c r="C90" s="14">
        <f>IF([1]屬性克制表!AS90 = "", "", [1]屬性克制表!AS90)</f>
        <v>18.39</v>
      </c>
    </row>
    <row r="91" spans="1:3" x14ac:dyDescent="0.3">
      <c r="A91" s="14" t="str">
        <f>IF([1]屬性克制表!AQ91 = "", "", [1]屬性克制表!AQ91)</f>
        <v>雷伊布</v>
      </c>
      <c r="B91" s="15" t="str">
        <f>[1]屬性克制表!AO91</f>
        <v>電</v>
      </c>
      <c r="C91" s="14">
        <f>IF([1]屬性克制表!AS91 = "", "", [1]屬性克制表!AS91)</f>
        <v>14.61</v>
      </c>
    </row>
    <row r="92" spans="1:3" x14ac:dyDescent="0.3">
      <c r="A92" s="14" t="str">
        <f>IF([1]屬性克制表!AQ92 = "", "", [1]屬性克制表!AQ92)</f>
        <v>雷公</v>
      </c>
      <c r="B92" s="15" t="str">
        <f>[1]屬性克制表!AO92</f>
        <v>電</v>
      </c>
      <c r="C92" s="14">
        <f>IF([1]屬性克制表!AS92 = "", "", [1]屬性克制表!AS92)</f>
        <v>16.59</v>
      </c>
    </row>
    <row r="93" spans="1:3" x14ac:dyDescent="0.3">
      <c r="A93" s="14" t="str">
        <f>IF([1]屬性克制表!AQ93 = "", "", [1]屬性克制表!AQ93)</f>
        <v>原始固拉多</v>
      </c>
      <c r="B93" s="15" t="str">
        <f>[1]屬性克制表!AO93</f>
        <v>地面</v>
      </c>
      <c r="C93" s="14">
        <f>IF([1]屬性克制表!AS93 = "", "", [1]屬性克制表!AS93)</f>
        <v>22.13</v>
      </c>
    </row>
    <row r="94" spans="1:3" x14ac:dyDescent="0.3">
      <c r="A94" s="14" t="str">
        <f>IF([1]屬性克制表!AQ94 = "", "", [1]屬性克制表!AQ94)</f>
        <v>暗影固拉多</v>
      </c>
      <c r="B94" s="15" t="str">
        <f>[1]屬性克制表!AO94</f>
        <v>地面</v>
      </c>
      <c r="C94" s="14">
        <f>IF([1]屬性克制表!AS94 = "", "", [1]屬性克制表!AS94)</f>
        <v>20.85</v>
      </c>
    </row>
    <row r="95" spans="1:3" x14ac:dyDescent="0.3">
      <c r="A95" s="14" t="str">
        <f>IF([1]屬性克制表!AQ95 = "", "", [1]屬性克制表!AQ95)</f>
        <v>Mega烈咬陸鯊</v>
      </c>
      <c r="B95" s="15" t="str">
        <f>[1]屬性克制表!AO95</f>
        <v>地面</v>
      </c>
      <c r="C95" s="14">
        <f>IF([1]屬性克制表!AS95 = "", "", [1]屬性克制表!AS95)</f>
        <v>20.22</v>
      </c>
    </row>
    <row r="96" spans="1:3" x14ac:dyDescent="0.3">
      <c r="A96" s="14" t="str">
        <f>IF([1]屬性克制表!AQ96 = "", "", [1]屬性克制表!AQ96)</f>
        <v>暗影烈咬陸鯊</v>
      </c>
      <c r="B96" s="15" t="str">
        <f>[1]屬性克制表!AO96</f>
        <v>地面</v>
      </c>
      <c r="C96" s="14">
        <f>IF([1]屬性克制表!AS96 = "", "", [1]屬性克制表!AS96)</f>
        <v>19.420000000000002</v>
      </c>
    </row>
    <row r="97" spans="1:3" x14ac:dyDescent="0.3">
      <c r="A97" s="14" t="str">
        <f>IF([1]屬性克制表!AQ97 = "", "", [1]屬性克制表!AQ97)</f>
        <v>Mega巨沼怪</v>
      </c>
      <c r="B97" s="15" t="str">
        <f>[1]屬性克制表!AO97</f>
        <v>地面</v>
      </c>
      <c r="C97" s="14">
        <f>IF([1]屬性克制表!AS97 = "", "", [1]屬性克制表!AS97)</f>
        <v>16.72</v>
      </c>
    </row>
    <row r="98" spans="1:3" x14ac:dyDescent="0.3">
      <c r="A98" s="14" t="str">
        <f>IF([1]屬性克制表!AQ98 = "", "", [1]屬性克制表!AQ98)</f>
        <v>固拉多</v>
      </c>
      <c r="B98" s="15" t="str">
        <f>[1]屬性克制表!AO98</f>
        <v>地面</v>
      </c>
      <c r="C98" s="14">
        <f>IF([1]屬性克制表!AS98 = "", "", [1]屬性克制表!AS98)</f>
        <v>17.39</v>
      </c>
    </row>
    <row r="99" spans="1:3" x14ac:dyDescent="0.3">
      <c r="A99" s="14" t="str">
        <f>IF([1]屬性克制表!AQ99 = "", "", [1]屬性克制表!AQ99)</f>
        <v>土地雲-靈獸形態</v>
      </c>
      <c r="B99" s="15" t="str">
        <f>[1]屬性克制表!AO99</f>
        <v>地面</v>
      </c>
      <c r="C99" s="14">
        <f>IF([1]屬性克制表!AS99 = "", "", [1]屬性克制表!AS99)</f>
        <v>19.59</v>
      </c>
    </row>
    <row r="100" spans="1:3" x14ac:dyDescent="0.3">
      <c r="A100" s="14" t="str">
        <f>IF([1]屬性克制表!AQ100 = "", "", [1]屬性克制表!AQ100)</f>
        <v>超甲狂犀</v>
      </c>
      <c r="B100" s="15" t="str">
        <f>[1]屬性克制表!AO100</f>
        <v>地面</v>
      </c>
      <c r="C100" s="14">
        <f>IF([1]屬性克制表!AS100 = "", "", [1]屬性克制表!AS100)</f>
        <v>15.17</v>
      </c>
    </row>
    <row r="101" spans="1:3" x14ac:dyDescent="0.3">
      <c r="A101" s="14" t="str">
        <f>IF([1]屬性克制表!AQ101 = "", "", [1]屬性克制表!AQ101)</f>
        <v>土地雲-化身形態</v>
      </c>
      <c r="B101" s="15" t="str">
        <f>[1]屬性克制表!AO101</f>
        <v>地面</v>
      </c>
      <c r="C101" s="14">
        <f>IF([1]屬性克制表!AS101 = "", "", [1]屬性克制表!AS101)</f>
        <v>16.02</v>
      </c>
    </row>
    <row r="102" spans="1:3" x14ac:dyDescent="0.3">
      <c r="A102" s="14" t="str">
        <f>IF([1]屬性克制表!AQ102 = "", "", [1]屬性克制表!AQ102)</f>
        <v>龍頭地鼠</v>
      </c>
      <c r="B102" s="15" t="str">
        <f>[1]屬性克制表!AO102</f>
        <v>地面</v>
      </c>
      <c r="C102" s="14">
        <f>IF([1]屬性克制表!AS102 = "", "", [1]屬性克制表!AS102)</f>
        <v>16.63</v>
      </c>
    </row>
    <row r="103" spans="1:3" x14ac:dyDescent="0.3">
      <c r="A103" s="14" t="str">
        <f>IF([1]屬性克制表!AQ103 = "", "", [1]屬性克制表!AQ103)</f>
        <v>烈咬陸鯊</v>
      </c>
      <c r="B103" s="15" t="str">
        <f>[1]屬性克制表!AO103</f>
        <v>地面</v>
      </c>
      <c r="C103" s="14">
        <f>IF([1]屬性克制表!AS103 = "", "", [1]屬性克制表!AS103)</f>
        <v>16.03</v>
      </c>
    </row>
    <row r="104" spans="1:3" x14ac:dyDescent="0.3">
      <c r="A104" s="14" t="str">
        <f>IF([1]屬性克制表!AQ104 = "", "", [1]屬性克制表!AQ104)</f>
        <v>Mega超夢Y</v>
      </c>
      <c r="B104" s="15" t="str">
        <f>[1]屬性克制表!AO104</f>
        <v>超能力</v>
      </c>
      <c r="C104" s="14">
        <f>IF([1]屬性克制表!AS104 = "", "", [1]屬性克制表!AS104)</f>
        <v>33.270000000000003</v>
      </c>
    </row>
    <row r="105" spans="1:3" x14ac:dyDescent="0.3">
      <c r="A105" s="14" t="str">
        <f>IF([1]屬性克制表!AQ105 = "", "", [1]屬性克制表!AQ105)</f>
        <v>Mega超夢X</v>
      </c>
      <c r="B105" s="15" t="str">
        <f>[1]屬性克制表!AO105</f>
        <v>超能力</v>
      </c>
      <c r="C105" s="14">
        <f>IF([1]屬性克制表!AS105 = "", "", [1]屬性克制表!AS105)</f>
        <v>27.49</v>
      </c>
    </row>
    <row r="106" spans="1:3" x14ac:dyDescent="0.3">
      <c r="A106" s="14" t="str">
        <f>IF([1]屬性克制表!AQ106 = "", "", [1]屬性克制表!AQ106)</f>
        <v>奈克洛茲瑪-黃昏之鬃</v>
      </c>
      <c r="B106" s="15" t="str">
        <f>[1]屬性克制表!AO106</f>
        <v>超能力</v>
      </c>
      <c r="C106" s="14">
        <f>IF([1]屬性克制表!AS106 = "", "", [1]屬性克制表!AS106)</f>
        <v>16.55</v>
      </c>
    </row>
    <row r="107" spans="1:3" x14ac:dyDescent="0.3">
      <c r="A107" s="14" t="str">
        <f>IF([1]屬性克制表!AQ107 = "", "", [1]屬性克制表!AQ107)</f>
        <v>奈克洛茲瑪-拂曉之翼</v>
      </c>
      <c r="B107" s="15" t="str">
        <f>[1]屬性克制表!AO107</f>
        <v>超能力</v>
      </c>
      <c r="C107" s="14">
        <f>IF([1]屬性克制表!AS107 = "", "", [1]屬性克制表!AS107)</f>
        <v>16.55</v>
      </c>
    </row>
    <row r="108" spans="1:3" x14ac:dyDescent="0.3">
      <c r="A108" s="14" t="str">
        <f>IF([1]屬性克制表!AQ108 = "", "", [1]屬性克制表!AQ108)</f>
        <v>暗影超夢</v>
      </c>
      <c r="B108" s="15" t="str">
        <f>[1]屬性克制表!AO108</f>
        <v>超能力</v>
      </c>
      <c r="C108" s="14">
        <f>IF([1]屬性克制表!AS108 = "", "", [1]屬性克制表!AS108)</f>
        <v>25.76</v>
      </c>
    </row>
    <row r="109" spans="1:3" x14ac:dyDescent="0.3">
      <c r="A109" s="14" t="str">
        <f>IF([1]屬性克制表!AQ109 = "", "", [1]屬性克制表!AQ109)</f>
        <v>Mega拉帝亞斯</v>
      </c>
      <c r="B109" s="15" t="str">
        <f>[1]屬性克制表!AO109</f>
        <v>超能力</v>
      </c>
      <c r="C109" s="14">
        <f>IF([1]屬性克制表!AS109 = "", "", [1]屬性克制表!AS109)</f>
        <v>17.649999999999999</v>
      </c>
    </row>
    <row r="110" spans="1:3" x14ac:dyDescent="0.3">
      <c r="A110" s="14" t="str">
        <f>IF([1]屬性克制表!AQ110 = "", "", [1]屬性克制表!AQ110)</f>
        <v>Mega巨金怪</v>
      </c>
      <c r="B110" s="15" t="str">
        <f>[1]屬性克制表!AO110</f>
        <v>超能力</v>
      </c>
      <c r="C110" s="14">
        <f>IF([1]屬性克制表!AS110 = "", "", [1]屬性克制表!AS110)</f>
        <v>18.3</v>
      </c>
    </row>
    <row r="111" spans="1:3" x14ac:dyDescent="0.3">
      <c r="A111" s="14" t="str">
        <f>IF([1]屬性克制表!AQ111 = "", "", [1]屬性克制表!AQ111)</f>
        <v>胡帕</v>
      </c>
      <c r="B111" s="15" t="str">
        <f>[1]屬性克制表!AO111</f>
        <v>超能力</v>
      </c>
      <c r="C111" s="14">
        <f>IF([1]屬性克制表!AS111 = "", "", [1]屬性克制表!AS111)</f>
        <v>20.2</v>
      </c>
    </row>
    <row r="112" spans="1:3" x14ac:dyDescent="0.3">
      <c r="A112" s="14" t="str">
        <f>IF([1]屬性克制表!AQ112 = "", "", [1]屬性克制表!AQ112)</f>
        <v>超夢</v>
      </c>
      <c r="B112" s="15" t="str">
        <f>[1]屬性克制表!AO112</f>
        <v>超能力</v>
      </c>
      <c r="C112" s="14">
        <f>IF([1]屬性克制表!AS112 = "", "", [1]屬性克制表!AS112)</f>
        <v>21.25</v>
      </c>
    </row>
    <row r="113" spans="1:3" x14ac:dyDescent="0.3">
      <c r="A113" s="14" t="str">
        <f>IF([1]屬性克制表!AQ113 = "", "", [1]屬性克制表!AQ113)</f>
        <v>Mega胡地</v>
      </c>
      <c r="B113" s="15" t="str">
        <f>[1]屬性克制表!AO113</f>
        <v>超能力</v>
      </c>
      <c r="C113" s="14">
        <f>IF([1]屬性克制表!AS113 = "", "", [1]屬性克制表!AS113)</f>
        <v>23.38</v>
      </c>
    </row>
    <row r="114" spans="1:3" x14ac:dyDescent="0.3">
      <c r="A114" s="14" t="str">
        <f>IF([1]屬性克制表!AQ114 = "", "", [1]屬性克制表!AQ114)</f>
        <v>Mega沙奈朵</v>
      </c>
      <c r="B114" s="15" t="str">
        <f>[1]屬性克制表!AO114</f>
        <v>超能力</v>
      </c>
      <c r="C114" s="14">
        <f>IF([1]屬性克制表!AS114 = "", "", [1]屬性克制表!AS114)</f>
        <v>20.92</v>
      </c>
    </row>
    <row r="115" spans="1:3" x14ac:dyDescent="0.3">
      <c r="A115" s="14" t="str">
        <f>IF([1]屬性克制表!AQ115 = "", "", [1]屬性克制表!AQ115)</f>
        <v>Mega拉帝歐斯</v>
      </c>
      <c r="B115" s="15" t="str">
        <f>[1]屬性克制表!AO115</f>
        <v>超能力</v>
      </c>
      <c r="C115" s="14">
        <f>IF([1]屬性克制表!AS115 = "", "", [1]屬性克制表!AS115)</f>
        <v>20.47</v>
      </c>
    </row>
    <row r="116" spans="1:3" x14ac:dyDescent="0.3">
      <c r="A116" s="14" t="str">
        <f>IF([1]屬性克制表!AQ116 = "", "", [1]屬性克制表!AQ116)</f>
        <v>Mega蒂安希</v>
      </c>
      <c r="B116" s="15" t="str">
        <f>[1]屬性克制表!AO116</f>
        <v>岩石</v>
      </c>
      <c r="C116" s="14">
        <f>IF([1]屬性克制表!AS116 = "", "", [1]屬性克制表!AS116)</f>
        <v>20.05</v>
      </c>
    </row>
    <row r="117" spans="1:3" x14ac:dyDescent="0.3">
      <c r="A117" s="14" t="str">
        <f>IF([1]屬性克制表!AQ117 = "", "", [1]屬性克制表!AQ117)</f>
        <v>Mega化石翼龍</v>
      </c>
      <c r="B117" s="15" t="str">
        <f>[1]屬性克制表!AO117</f>
        <v>岩石</v>
      </c>
      <c r="C117" s="14">
        <f>IF([1]屬性克制表!AS117 = "", "", [1]屬性克制表!AS117)</f>
        <v>17.54</v>
      </c>
    </row>
    <row r="118" spans="1:3" x14ac:dyDescent="0.3">
      <c r="A118" s="14" t="str">
        <f>IF([1]屬性克制表!AQ118 = "", "", [1]屬性克制表!AQ118)</f>
        <v>暗影班基拉斯</v>
      </c>
      <c r="B118" s="15" t="str">
        <f>[1]屬性克制表!AO118</f>
        <v>岩石</v>
      </c>
      <c r="C118" s="14">
        <f>IF([1]屬性克制表!AS118 = "", "", [1]屬性克制表!AS118)</f>
        <v>17.47</v>
      </c>
    </row>
    <row r="119" spans="1:3" x14ac:dyDescent="0.3">
      <c r="A119" s="14" t="str">
        <f>IF([1]屬性克制表!AQ119 = "", "", [1]屬性克制表!AQ119)</f>
        <v>Mega班基拉斯</v>
      </c>
      <c r="B119" s="15" t="str">
        <f>[1]屬性克制表!AO119</f>
        <v>岩石</v>
      </c>
      <c r="C119" s="14">
        <f>IF([1]屬性克制表!AS119 = "", "", [1]屬性克制表!AS119)</f>
        <v>17.45</v>
      </c>
    </row>
    <row r="120" spans="1:3" x14ac:dyDescent="0.3">
      <c r="A120" s="14" t="str">
        <f>IF([1]屬性克制表!AQ120 = "", "", [1]屬性克制表!AQ120)</f>
        <v>班基拉斯</v>
      </c>
      <c r="B120" s="15" t="str">
        <f>[1]屬性克制表!AO120</f>
        <v>岩石</v>
      </c>
      <c r="C120" s="14">
        <f>IF([1]屬性克制表!AS120 = "", "", [1]屬性克制表!AS120)</f>
        <v>14.53</v>
      </c>
    </row>
    <row r="121" spans="1:3" x14ac:dyDescent="0.3">
      <c r="A121" s="14" t="str">
        <f>IF([1]屬性克制表!AQ121 = "", "", [1]屬性克制表!AQ121)</f>
        <v>龐岩怪</v>
      </c>
      <c r="B121" s="15" t="str">
        <f>[1]屬性克制表!AO121</f>
        <v>岩石</v>
      </c>
      <c r="C121" s="14">
        <f>IF([1]屬性克制表!AS121 = "", "", [1]屬性克制表!AS121)</f>
        <v>15.27</v>
      </c>
    </row>
    <row r="122" spans="1:3" x14ac:dyDescent="0.3">
      <c r="A122" s="14" t="str">
        <f>IF([1]屬性克制表!AQ122 = "", "", [1]屬性克制表!AQ122)</f>
        <v>代拉基翁</v>
      </c>
      <c r="B122" s="15" t="str">
        <f>[1]屬性克制表!AO122</f>
        <v>岩石</v>
      </c>
      <c r="C122" s="14">
        <f>IF([1]屬性克制表!AS122 = "", "", [1]屬性克制表!AS122)</f>
        <v>15.55</v>
      </c>
    </row>
    <row r="123" spans="1:3" x14ac:dyDescent="0.3">
      <c r="A123" s="14" t="str">
        <f>IF([1]屬性克制表!AQ123 = "", "", [1]屬性克制表!AQ123)</f>
        <v>暗影超甲狂犀</v>
      </c>
      <c r="B123" s="15" t="str">
        <f>[1]屬性克制表!AO123</f>
        <v>岩石</v>
      </c>
      <c r="C123" s="14">
        <f>IF([1]屬性克制表!AS123 = "", "", [1]屬性克制表!AS123)</f>
        <v>19.61</v>
      </c>
    </row>
    <row r="124" spans="1:3" x14ac:dyDescent="0.3">
      <c r="A124" s="14" t="str">
        <f>IF([1]屬性克制表!AQ124 = "", "", [1]屬性克制表!AQ124)</f>
        <v>超甲狂犀</v>
      </c>
      <c r="B124" s="15" t="str">
        <f>[1]屬性克制表!AO124</f>
        <v>岩石</v>
      </c>
      <c r="C124" s="14">
        <f>IF([1]屬性克制表!AS124 = "", "", [1]屬性克制表!AS124)</f>
        <v>16.14</v>
      </c>
    </row>
    <row r="125" spans="1:3" x14ac:dyDescent="0.3">
      <c r="A125" s="14" t="str">
        <f>IF([1]屬性克制表!AQ125 = "", "", [1]屬性克制表!AQ125)</f>
        <v>暗影戰槌龍</v>
      </c>
      <c r="B125" s="15" t="str">
        <f>[1]屬性克制表!AO125</f>
        <v>岩石</v>
      </c>
      <c r="C125" s="14">
        <f>IF([1]屬性克制表!AS125 = "", "", [1]屬性克制表!AS125)</f>
        <v>22.22</v>
      </c>
    </row>
    <row r="126" spans="1:3" x14ac:dyDescent="0.3">
      <c r="A126" s="14" t="str">
        <f>IF([1]屬性克制表!AQ126 = "", "", [1]屬性克制表!AQ126)</f>
        <v>戰槌龍</v>
      </c>
      <c r="B126" s="15" t="str">
        <f>[1]屬性克制表!AO126</f>
        <v>岩石</v>
      </c>
      <c r="C126" s="14">
        <f>IF([1]屬性克制表!AS126 = "", "", [1]屬性克制表!AS126)</f>
        <v>18.22</v>
      </c>
    </row>
    <row r="127" spans="1:3" x14ac:dyDescent="0.3">
      <c r="A127" s="14" t="str">
        <f>IF([1]屬性克制表!AQ127 = "", "", [1]屬性克制表!AQ127)</f>
        <v>焰白酋雷姆</v>
      </c>
      <c r="B127" s="15" t="str">
        <f>[1]屬性克制表!AO127</f>
        <v>冰</v>
      </c>
      <c r="C127" s="14">
        <f>IF([1]屬性克制表!AS127 = "", "", [1]屬性克制表!AS127)</f>
        <v>22.16</v>
      </c>
    </row>
    <row r="128" spans="1:3" x14ac:dyDescent="0.3">
      <c r="A128" s="14" t="str">
        <f>IF([1]屬性克制表!AQ128 = "", "", [1]屬性克制表!AQ128)</f>
        <v>闇黑酋雷姆</v>
      </c>
      <c r="B128" s="15" t="str">
        <f>[1]屬性克制表!AO128</f>
        <v>冰</v>
      </c>
      <c r="C128" s="14">
        <f>IF([1]屬性克制表!AS128 = "", "", [1]屬性克制表!AS128)</f>
        <v>20.02</v>
      </c>
    </row>
    <row r="129" spans="1:3" x14ac:dyDescent="0.3">
      <c r="A129" s="14" t="str">
        <f>IF([1]屬性克制表!AQ129 = "", "", [1]屬性克制表!AQ129)</f>
        <v>戟脊龍</v>
      </c>
      <c r="B129" s="15" t="str">
        <f>[1]屬性克制表!AO129</f>
        <v>冰</v>
      </c>
      <c r="C129" s="14">
        <f>IF([1]屬性克制表!AS129 = "", "", [1]屬性克制表!AS129)</f>
        <v>16.170000000000002</v>
      </c>
    </row>
    <row r="130" spans="1:3" x14ac:dyDescent="0.3">
      <c r="A130" s="14" t="str">
        <f>IF([1]屬性克制表!AQ130 = "", "", [1]屬性克制表!AQ130)</f>
        <v>冰伊布</v>
      </c>
      <c r="B130" s="15" t="str">
        <f>[1]屬性克制表!AO130</f>
        <v>冰</v>
      </c>
      <c r="C130" s="14">
        <f>IF([1]屬性克制表!AS130 = "", "", [1]屬性克制表!AS130)</f>
        <v>14.88</v>
      </c>
    </row>
    <row r="131" spans="1:3" x14ac:dyDescent="0.3">
      <c r="A131" s="14" t="str">
        <f>IF([1]屬性克制表!AQ131 = "", "", [1]屬性克制表!AQ131)</f>
        <v>達摩狒狒 伽勒爾</v>
      </c>
      <c r="B131" s="15" t="str">
        <f>[1]屬性克制表!AO131</f>
        <v>冰</v>
      </c>
      <c r="C131" s="14">
        <f>IF([1]屬性克制表!AS131 = "", "", [1]屬性克制表!AS131)</f>
        <v>17.25</v>
      </c>
    </row>
    <row r="132" spans="1:3" x14ac:dyDescent="0.3">
      <c r="A132" s="14" t="str">
        <f>IF([1]屬性克制表!AQ132 = "", "", [1]屬性克制表!AQ132)</f>
        <v>Mega冰鬼護</v>
      </c>
      <c r="B132" s="15" t="str">
        <f>[1]屬性克制表!AO132</f>
        <v>冰</v>
      </c>
      <c r="C132" s="14">
        <f>IF([1]屬性克制表!AS132 = "", "", [1]屬性克制表!AS132)</f>
        <v>15.98</v>
      </c>
    </row>
    <row r="133" spans="1:3" x14ac:dyDescent="0.3">
      <c r="A133" s="14" t="str">
        <f>IF([1]屬性克制表!AQ133 = "", "", [1]屬性克制表!AQ133)</f>
        <v>Mega暴雪王</v>
      </c>
      <c r="B133" s="15" t="str">
        <f>[1]屬性克制表!AO133</f>
        <v>冰</v>
      </c>
      <c r="C133" s="14">
        <f>IF([1]屬性克制表!AS133 = "", "", [1]屬性克制表!AS133)</f>
        <v>15.61</v>
      </c>
    </row>
    <row r="134" spans="1:3" x14ac:dyDescent="0.3">
      <c r="A134" s="14" t="str">
        <f>IF([1]屬性克制表!AQ134 = "", "", [1]屬性克制表!AQ134)</f>
        <v>Mega雪妖女</v>
      </c>
      <c r="B134" s="15" t="str">
        <f>[1]屬性克制表!AO134</f>
        <v>冰</v>
      </c>
      <c r="C134" s="14">
        <f>IF([1]屬性克制表!AS134 = "", "", [1]屬性克制表!AS134)</f>
        <v>17.68</v>
      </c>
    </row>
    <row r="135" spans="1:3" x14ac:dyDescent="0.3">
      <c r="A135" s="14" t="str">
        <f>IF([1]屬性克制表!AQ135 = "", "", [1]屬性克制表!AQ135)</f>
        <v>暗影象牙豬</v>
      </c>
      <c r="B135" s="15" t="str">
        <f>[1]屬性克制表!AO135</f>
        <v>冰</v>
      </c>
      <c r="C135" s="14">
        <f>IF([1]屬性克制表!AS135 = "", "", [1]屬性克制表!AS135)</f>
        <v>19.27</v>
      </c>
    </row>
    <row r="136" spans="1:3" x14ac:dyDescent="0.3">
      <c r="A136" s="14" t="str">
        <f>IF([1]屬性克制表!AQ136 = "", "", [1]屬性克制表!AQ136)</f>
        <v>象牙豬</v>
      </c>
      <c r="B136" s="15" t="str">
        <f>[1]屬性克制表!AO136</f>
        <v>冰</v>
      </c>
      <c r="C136" s="14">
        <f>IF([1]屬性克制表!AS136 = "", "", [1]屬性克制表!AS136)</f>
        <v>15.82</v>
      </c>
    </row>
    <row r="137" spans="1:3" x14ac:dyDescent="0.3">
      <c r="A137" s="14" t="str">
        <f>IF([1]屬性克制表!AQ137 = "", "", [1]屬性克制表!AQ137)</f>
        <v>瑪狃拉</v>
      </c>
      <c r="B137" s="15" t="str">
        <f>[1]屬性克制表!AO137</f>
        <v>冰</v>
      </c>
      <c r="C137" s="14">
        <f>IF([1]屬性克制表!AS137 = "", "", [1]屬性克制表!AS137)</f>
        <v>15.26</v>
      </c>
    </row>
    <row r="138" spans="1:3" x14ac:dyDescent="0.3">
      <c r="A138" s="14" t="str">
        <f>IF([1]屬性克制表!AQ138 = "", "", [1]屬性克制表!AQ138)</f>
        <v>費洛美螂</v>
      </c>
      <c r="B138" s="15" t="str">
        <f>[1]屬性克制表!AO138</f>
        <v>蟲</v>
      </c>
      <c r="C138" s="14">
        <f>IF([1]屬性克制表!AS138 = "", "", [1]屬性克制表!AS138)</f>
        <v>20.260000000000002</v>
      </c>
    </row>
    <row r="139" spans="1:3" x14ac:dyDescent="0.3">
      <c r="A139" s="14" t="str">
        <f>IF([1]屬性克制表!AQ139 = "", "", [1]屬性克制表!AQ139)</f>
        <v>Mega大針鋒</v>
      </c>
      <c r="B139" s="15" t="str">
        <f>[1]屬性克制表!AO139</f>
        <v>蟲</v>
      </c>
      <c r="C139" s="14">
        <f>IF([1]屬性克制表!AS139 = "", "", [1]屬性克制表!AS139)</f>
        <v>25.73</v>
      </c>
    </row>
    <row r="140" spans="1:3" x14ac:dyDescent="0.3">
      <c r="A140" s="14" t="str">
        <f>IF([1]屬性克制表!AQ140 = "", "", [1]屬性克制表!AQ140)</f>
        <v>Mega赫拉克羅斯</v>
      </c>
      <c r="B140" s="15" t="str">
        <f>[1]屬性克制表!AO140</f>
        <v>蟲</v>
      </c>
      <c r="C140" s="14">
        <f>IF([1]屬性克制表!AS140 = "", "", [1]屬性克制表!AS140)</f>
        <v>20.46</v>
      </c>
    </row>
    <row r="141" spans="1:3" x14ac:dyDescent="0.3">
      <c r="A141" s="14" t="str">
        <f>IF([1]屬性克制表!AQ141 = "", "", [1]屬性克制表!AQ141)</f>
        <v>Mega巨鉗螳螂</v>
      </c>
      <c r="B141" s="15" t="str">
        <f>[1]屬性克制表!AO141</f>
        <v>蟲</v>
      </c>
      <c r="C141" s="14">
        <f>IF([1]屬性克制表!AS141 = "", "", [1]屬性克制表!AS141)</f>
        <v>16.52</v>
      </c>
    </row>
    <row r="142" spans="1:3" x14ac:dyDescent="0.3">
      <c r="A142" s="14" t="str">
        <f>IF([1]屬性克制表!AQ142 = "", "", [1]屬性克制表!AQ142)</f>
        <v>蓋諾賽克特</v>
      </c>
      <c r="B142" s="15" t="str">
        <f>[1]屬性克制表!AO142</f>
        <v>蟲</v>
      </c>
      <c r="C142" s="14">
        <f>IF([1]屬性克制表!AS142 = "", "", [1]屬性克制表!AS142)</f>
        <v>15.23</v>
      </c>
    </row>
    <row r="143" spans="1:3" x14ac:dyDescent="0.3">
      <c r="A143" s="14" t="str">
        <f>IF([1]屬性克制表!AQ143 = "", "", [1]屬性克制表!AQ143)</f>
        <v>火神蛾</v>
      </c>
      <c r="B143" s="15" t="str">
        <f>[1]屬性克制表!AO143</f>
        <v>蟲</v>
      </c>
      <c r="C143" s="14">
        <f>IF([1]屬性克制表!AS143 = "", "", [1]屬性克制表!AS143)</f>
        <v>16.29</v>
      </c>
    </row>
    <row r="144" spans="1:3" x14ac:dyDescent="0.3">
      <c r="A144" s="14" t="str">
        <f>IF([1]屬性克制表!AQ144 = "", "", [1]屬性克制表!AQ144)</f>
        <v>Mega烈空坐</v>
      </c>
      <c r="B144" s="15" t="str">
        <f>[1]屬性克制表!AO144</f>
        <v>龍</v>
      </c>
      <c r="C144" s="14">
        <f>IF([1]屬性克制表!AS144 = "", "", [1]屬性克制表!AS144)</f>
        <v>25.54</v>
      </c>
    </row>
    <row r="145" spans="1:3" x14ac:dyDescent="0.3">
      <c r="A145" s="14" t="str">
        <f>IF([1]屬性克制表!AQ145 = "", "", [1]屬性克制表!AQ145)</f>
        <v>無極汰那</v>
      </c>
      <c r="B145" s="15" t="str">
        <f>[1]屬性克制表!AO145</f>
        <v>龍</v>
      </c>
      <c r="C145" s="14">
        <f>IF([1]屬性克制表!AS145 = "", "", [1]屬性克制表!AS145)</f>
        <v>26.32</v>
      </c>
    </row>
    <row r="146" spans="1:3" x14ac:dyDescent="0.3">
      <c r="A146" s="14" t="str">
        <f>IF([1]屬性克制表!AQ146 = "", "", [1]屬性克制表!AQ146)</f>
        <v>暗影雙斧戰龍</v>
      </c>
      <c r="B146" s="15" t="str">
        <f>[1]屬性克制表!AO146</f>
        <v>龍</v>
      </c>
      <c r="C146" s="14">
        <f>IF([1]屬性克制表!AS146 = "", "", [1]屬性克制表!AS146)</f>
        <v>23.99</v>
      </c>
    </row>
    <row r="147" spans="1:3" x14ac:dyDescent="0.3">
      <c r="A147" s="14" t="str">
        <f>IF([1]屬性克制表!AQ147 = "", "", [1]屬性克制表!AQ147)</f>
        <v>暗影暴飛龍</v>
      </c>
      <c r="B147" s="15" t="str">
        <f>[1]屬性克制表!AO147</f>
        <v>龍</v>
      </c>
      <c r="C147" s="14">
        <f>IF([1]屬性克制表!AS147 = "", "", [1]屬性克制表!AS147)</f>
        <v>22.52</v>
      </c>
    </row>
    <row r="148" spans="1:3" x14ac:dyDescent="0.3">
      <c r="A148" s="14" t="str">
        <f>IF([1]屬性克制表!AQ148 = "", "", [1]屬性克制表!AQ148)</f>
        <v>闇黑酋雷姆</v>
      </c>
      <c r="B148" s="15" t="str">
        <f>[1]屬性克制表!AO148</f>
        <v>龍</v>
      </c>
      <c r="C148" s="14">
        <f>IF([1]屬性克制表!AS148 = "", "", [1]屬性克制表!AS148)</f>
        <v>20.18</v>
      </c>
    </row>
    <row r="149" spans="1:3" x14ac:dyDescent="0.3">
      <c r="A149" s="14" t="str">
        <f>IF([1]屬性克制表!AQ149 = "", "", [1]屬性克制表!AQ149)</f>
        <v>烈空坐</v>
      </c>
      <c r="B149" s="15" t="str">
        <f>[1]屬性克制表!AO149</f>
        <v>龍</v>
      </c>
      <c r="C149" s="14">
        <f>IF([1]屬性克制表!AS149 = "", "", [1]屬性克制表!AS149)</f>
        <v>19.86</v>
      </c>
    </row>
    <row r="150" spans="1:3" x14ac:dyDescent="0.3">
      <c r="A150" s="14" t="str">
        <f>IF([1]屬性克制表!AQ150 = "", "", [1]屬性克制表!AQ150)</f>
        <v>雙斧戰龍</v>
      </c>
      <c r="B150" s="15" t="str">
        <f>[1]屬性克制表!AO150</f>
        <v>龍</v>
      </c>
      <c r="C150" s="14">
        <f>IF([1]屬性克制表!AS150 = "", "", [1]屬性克制表!AS150)</f>
        <v>19.77</v>
      </c>
    </row>
    <row r="151" spans="1:3" x14ac:dyDescent="0.3">
      <c r="A151" s="14" t="str">
        <f>IF([1]屬性克制表!AQ151 = "", "", [1]屬性克制表!AQ151)</f>
        <v>Mega烈咬陸鯊</v>
      </c>
      <c r="B151" s="15" t="str">
        <f>[1]屬性克制表!AO151</f>
        <v>龍</v>
      </c>
      <c r="C151" s="14">
        <f>IF([1]屬性克制表!AS151 = "", "", [1]屬性克制表!AS151)</f>
        <v>23.05</v>
      </c>
    </row>
    <row r="152" spans="1:3" x14ac:dyDescent="0.3">
      <c r="A152" s="14" t="str">
        <f>IF([1]屬性克制表!AQ152 = "", "", [1]屬性克制表!AQ152)</f>
        <v>Mega暴飛龍</v>
      </c>
      <c r="B152" s="15" t="str">
        <f>[1]屬性克制表!AO152</f>
        <v>龍</v>
      </c>
      <c r="C152" s="14">
        <f>IF([1]屬性克制表!AS152 = "", "", [1]屬性克制表!AS152)</f>
        <v>20.440000000000001</v>
      </c>
    </row>
    <row r="153" spans="1:3" x14ac:dyDescent="0.3">
      <c r="A153" s="14" t="str">
        <f>IF([1]屬性克制表!AQ153 = "", "", [1]屬性克制表!AQ153)</f>
        <v>焰白酋雷姆</v>
      </c>
      <c r="B153" s="15" t="str">
        <f>[1]屬性克制表!AO153</f>
        <v>龍</v>
      </c>
      <c r="C153" s="14">
        <f>IF([1]屬性克制表!AS153 = "", "", [1]屬性克制表!AS153)</f>
        <v>18.170000000000002</v>
      </c>
    </row>
    <row r="154" spans="1:3" x14ac:dyDescent="0.3">
      <c r="A154" s="14" t="str">
        <f>IF([1]屬性克制表!AQ154 = "", "", [1]屬性克制表!AQ154)</f>
        <v>Mega拉帝歐斯</v>
      </c>
      <c r="B154" s="15" t="str">
        <f>[1]屬性克制表!AO154</f>
        <v>龍</v>
      </c>
      <c r="C154" s="14">
        <f>IF([1]屬性克制表!AS154 = "", "", [1]屬性克制表!AS154)</f>
        <v>19.28</v>
      </c>
    </row>
    <row r="155" spans="1:3" x14ac:dyDescent="0.3">
      <c r="A155" s="14" t="str">
        <f>IF([1]屬性克制表!AQ155 = "", "", [1]屬性克制表!AQ155)</f>
        <v>起源帝牙盧卡</v>
      </c>
      <c r="B155" s="15" t="str">
        <f>[1]屬性克制表!AO155</f>
        <v>龍</v>
      </c>
      <c r="C155" s="14">
        <f>IF([1]屬性克制表!AS155 = "", "", [1]屬性克制表!AS155)</f>
        <v>19.739999999999998</v>
      </c>
    </row>
    <row r="156" spans="1:3" x14ac:dyDescent="0.3">
      <c r="A156" s="14" t="str">
        <f>IF([1]屬性克制表!AQ156 = "", "", [1]屬性克制表!AQ156)</f>
        <v>戟脊龍</v>
      </c>
      <c r="B156" s="15" t="str">
        <f>[1]屬性克制表!AO156</f>
        <v>龍</v>
      </c>
      <c r="C156" s="14">
        <f>IF([1]屬性克制表!AS156 = "", "", [1]屬性克制表!AS156)</f>
        <v>20.350000000000001</v>
      </c>
    </row>
    <row r="157" spans="1:3" x14ac:dyDescent="0.3">
      <c r="A157" s="14" t="str">
        <f>IF([1]屬性克制表!AQ157 = "", "", [1]屬性克制表!AQ157)</f>
        <v>起源帕路奇亞</v>
      </c>
      <c r="B157" s="15" t="str">
        <f>[1]屬性克制表!AO157</f>
        <v>龍</v>
      </c>
      <c r="C157" s="14">
        <f>IF([1]屬性克制表!AS157 = "", "", [1]屬性克制表!AS157)</f>
        <v>20.84</v>
      </c>
    </row>
    <row r="158" spans="1:3" x14ac:dyDescent="0.3">
      <c r="A158" s="14" t="str">
        <f>IF([1]屬性克制表!AQ158 = "", "", [1]屬性克制表!AQ158)</f>
        <v>暴飛龍</v>
      </c>
      <c r="B158" s="15" t="str">
        <f>[1]屬性克制表!AO158</f>
        <v>龍</v>
      </c>
      <c r="C158" s="14">
        <f>IF([1]屬性克制表!AS158 = "", "", [1]屬性克制表!AS158)</f>
        <v>18.670000000000002</v>
      </c>
    </row>
    <row r="159" spans="1:3" x14ac:dyDescent="0.3">
      <c r="A159" s="14" t="str">
        <f>IF([1]屬性克制表!AQ159 = "", "", [1]屬性克制表!AQ159)</f>
        <v>Mega快龍</v>
      </c>
      <c r="B159" s="15" t="str">
        <f>[1]屬性克制表!AO159</f>
        <v>龍</v>
      </c>
      <c r="C159" s="14">
        <f>IF([1]屬性克制表!AS159 = "", "", [1]屬性克制表!AS159)</f>
        <v>24.54</v>
      </c>
    </row>
    <row r="160" spans="1:3" x14ac:dyDescent="0.3">
      <c r="A160" s="14" t="str">
        <f>IF([1]屬性克制表!AQ160 = "", "", [1]屬性克制表!AQ160)</f>
        <v>Mega噴火龍X</v>
      </c>
      <c r="B160" s="15" t="str">
        <f>[1]屬性克制表!AO160</f>
        <v>龍</v>
      </c>
      <c r="C160" s="14">
        <f>IF([1]屬性克制表!AS160 = "", "", [1]屬性克制表!AS160)</f>
        <v>16.100000000000001</v>
      </c>
    </row>
    <row r="161" spans="1:3" x14ac:dyDescent="0.3">
      <c r="A161" s="14" t="str">
        <f>IF([1]屬性克制表!AQ161 = "", "", [1]屬性克制表!AQ161)</f>
        <v>帕路奇亞</v>
      </c>
      <c r="B161" s="15" t="str">
        <f>[1]屬性克制表!AO161</f>
        <v>龍</v>
      </c>
      <c r="C161" s="14">
        <f>IF([1]屬性克制表!AS161 = "", "", [1]屬性克制表!AS161)</f>
        <v>18.55</v>
      </c>
    </row>
    <row r="162" spans="1:3" x14ac:dyDescent="0.3">
      <c r="A162" s="14" t="str">
        <f>IF([1]屬性克制表!AQ162 = "", "", [1]屬性克制表!AQ162)</f>
        <v>帝牙盧卡</v>
      </c>
      <c r="B162" s="15" t="str">
        <f>[1]屬性克制表!AO162</f>
        <v>龍</v>
      </c>
      <c r="C162" s="14">
        <f>IF([1]屬性克制表!AS162 = "", "", [1]屬性克制表!AS162)</f>
        <v>17.54</v>
      </c>
    </row>
    <row r="163" spans="1:3" x14ac:dyDescent="0.3">
      <c r="A163" s="14" t="str">
        <f>IF([1]屬性克制表!AQ163 = "", "", [1]屬性克制表!AQ163)</f>
        <v>烈咬陸鯊</v>
      </c>
      <c r="B163" s="15" t="str">
        <f>[1]屬性克制表!AO163</f>
        <v>龍</v>
      </c>
      <c r="C163" s="14">
        <f>IF([1]屬性克制表!AS163 = "", "", [1]屬性克制表!AS163)</f>
        <v>18.25</v>
      </c>
    </row>
    <row r="164" spans="1:3" x14ac:dyDescent="0.3">
      <c r="A164" s="14" t="str">
        <f>IF([1]屬性克制表!AQ164 = "", "", [1]屬性克制表!AQ164)</f>
        <v>快龍</v>
      </c>
      <c r="B164" s="15" t="str">
        <f>[1]屬性克制表!AO164</f>
        <v>龍</v>
      </c>
      <c r="C164" s="14">
        <f>IF([1]屬性克制表!AS164 = "", "", [1]屬性克制表!AS164)</f>
        <v>17.649999999999999</v>
      </c>
    </row>
    <row r="165" spans="1:3" x14ac:dyDescent="0.3">
      <c r="A165" s="14" t="str">
        <f>IF([1]屬性克制表!AQ165 = "", "", [1]屬性克制表!AQ165)</f>
        <v>奈克洛茲瑪-拂曉之翼</v>
      </c>
      <c r="B165" s="15" t="str">
        <f>[1]屬性克制表!AO165</f>
        <v>幽靈</v>
      </c>
      <c r="C165" s="14">
        <f>IF([1]屬性克制表!AS165 = "", "", [1]屬性克制表!AS165)</f>
        <v>23.12</v>
      </c>
    </row>
    <row r="166" spans="1:3" x14ac:dyDescent="0.3">
      <c r="A166" s="14" t="str">
        <f>IF([1]屬性克制表!AQ166 = "", "", [1]屬性克制表!AQ166)</f>
        <v>暗影水晶燈火靈</v>
      </c>
      <c r="B166" s="15" t="str">
        <f>[1]屬性克制表!AO166</f>
        <v>幽靈</v>
      </c>
      <c r="C166" s="14">
        <f>IF([1]屬性克制表!AS166 = "", "", [1]屬性克制表!AS166)</f>
        <v>19.96</v>
      </c>
    </row>
    <row r="167" spans="1:3" x14ac:dyDescent="0.3">
      <c r="A167" s="14" t="str">
        <f>IF([1]屬性克制表!AQ167 = "", "", [1]屬性克制表!AQ167)</f>
        <v>砰頭小丑</v>
      </c>
      <c r="B167" s="15" t="str">
        <f>[1]屬性克制表!AO167</f>
        <v>幽靈</v>
      </c>
      <c r="C167" s="14">
        <f>IF([1]屬性克制表!AS167 = "", "", [1]屬性克制表!AS167)</f>
        <v>21.36</v>
      </c>
    </row>
    <row r="168" spans="1:3" x14ac:dyDescent="0.3">
      <c r="A168" s="14" t="str">
        <f>IF([1]屬性克制表!AQ168 = "", "", [1]屬性克制表!AQ168)</f>
        <v>暗影耿鬼</v>
      </c>
      <c r="B168" s="15" t="str">
        <f>[1]屬性克制表!AO168</f>
        <v>幽靈</v>
      </c>
      <c r="C168" s="14">
        <f>IF([1]屬性克制表!AS168 = "", "", [1]屬性克制表!AS168)</f>
        <v>21.93</v>
      </c>
    </row>
    <row r="169" spans="1:3" x14ac:dyDescent="0.3">
      <c r="A169" s="14" t="str">
        <f>IF([1]屬性克制表!AQ169 = "", "", [1]屬性克制表!AQ169)</f>
        <v>耿鬼</v>
      </c>
      <c r="B169" s="15" t="str">
        <f>[1]屬性克制表!AO169</f>
        <v>幽靈</v>
      </c>
      <c r="C169" s="14">
        <f>IF([1]屬性克制表!AS169 = "", "", [1]屬性克制表!AS169)</f>
        <v>18.11</v>
      </c>
    </row>
    <row r="170" spans="1:3" x14ac:dyDescent="0.3">
      <c r="A170" s="14" t="str">
        <f>IF([1]屬性克制表!AQ170 = "", "", [1]屬性克制表!AQ170)</f>
        <v>Mega耿鬼</v>
      </c>
      <c r="B170" s="15" t="str">
        <f>[1]屬性克制表!AO170</f>
        <v>幽靈</v>
      </c>
      <c r="C170" s="14">
        <f>IF([1]屬性克制表!AS170 = "", "", [1]屬性克制表!AS170)</f>
        <v>23.29</v>
      </c>
    </row>
    <row r="171" spans="1:3" x14ac:dyDescent="0.3">
      <c r="A171" s="14" t="str">
        <f>IF([1]屬性克制表!AQ171 = "", "", [1]屬性克制表!AQ171)</f>
        <v>Mega詛咒娃娃</v>
      </c>
      <c r="B171" s="15" t="str">
        <f>[1]屬性克制表!AO171</f>
        <v>幽靈</v>
      </c>
      <c r="C171" s="14">
        <f>IF([1]屬性克制表!AS171 = "", "", [1]屬性克制表!AS171)</f>
        <v>20.67</v>
      </c>
    </row>
    <row r="172" spans="1:3" x14ac:dyDescent="0.3">
      <c r="A172" s="14" t="str">
        <f>IF([1]屬性克制表!AQ172 = "", "", [1]屬性克制表!AQ172)</f>
        <v>水晶燈火靈</v>
      </c>
      <c r="B172" s="15" t="str">
        <f>[1]屬性克制表!AO172</f>
        <v>幽靈</v>
      </c>
      <c r="C172" s="14">
        <f>IF([1]屬性克制表!AS172 = "", "", [1]屬性克制表!AS172)</f>
        <v>17.64</v>
      </c>
    </row>
    <row r="173" spans="1:3" x14ac:dyDescent="0.3">
      <c r="A173" s="14" t="str">
        <f>IF([1]屬性克制表!AQ173 = "", "", [1]屬性克制表!AQ173)</f>
        <v>班基拉斯</v>
      </c>
      <c r="B173" s="15" t="str">
        <f>[1]屬性克制表!AO173</f>
        <v>惡</v>
      </c>
      <c r="C173" s="14">
        <f>IF([1]屬性克制表!AS173 = "", "", [1]屬性克制表!AS173)</f>
        <v>16.79</v>
      </c>
    </row>
    <row r="174" spans="1:3" x14ac:dyDescent="0.3">
      <c r="A174" s="14" t="str">
        <f>IF([1]屬性克制表!AQ174 = "", "", [1]屬性克制表!AQ174)</f>
        <v>伊裴爾塔爾</v>
      </c>
      <c r="B174" s="15" t="str">
        <f>[1]屬性克制表!AO174</f>
        <v>惡</v>
      </c>
      <c r="C174" s="14">
        <f>IF([1]屬性克制表!AS174 = "", "", [1]屬性克制表!AS174)</f>
        <v>15.18</v>
      </c>
    </row>
    <row r="175" spans="1:3" x14ac:dyDescent="0.3">
      <c r="A175" s="14" t="str">
        <f>IF([1]屬性克制表!AQ175 = "", "", [1]屬性克制表!AQ175)</f>
        <v>Mega巨牙鯊</v>
      </c>
      <c r="B175" s="15" t="str">
        <f>[1]屬性克制表!AO175</f>
        <v>惡</v>
      </c>
      <c r="C175" s="14">
        <f>IF([1]屬性克制表!AS175 = "", "", [1]屬性克制表!AS175)</f>
        <v>16.239999999999998</v>
      </c>
    </row>
    <row r="176" spans="1:3" x14ac:dyDescent="0.3">
      <c r="A176" s="14" t="str">
        <f>IF([1]屬性克制表!AQ176 = "", "", [1]屬性克制表!AQ176)</f>
        <v>阿勃梭魯</v>
      </c>
      <c r="B176" s="15" t="str">
        <f>[1]屬性克制表!AO176</f>
        <v>惡</v>
      </c>
      <c r="C176" s="14">
        <f>IF([1]屬性克制表!AS176 = "", "", [1]屬性克制表!AS176)</f>
        <v>17.8</v>
      </c>
    </row>
    <row r="177" spans="1:3" x14ac:dyDescent="0.3">
      <c r="A177" s="14" t="str">
        <f>IF([1]屬性克制表!AQ177 = "", "", [1]屬性克制表!AQ177)</f>
        <v>Mega班基拉斯</v>
      </c>
      <c r="B177" s="15" t="str">
        <f>[1]屬性克制表!AO177</f>
        <v>惡</v>
      </c>
      <c r="C177" s="14">
        <f>IF([1]屬性克制表!AS177 = "", "", [1]屬性克制表!AS177)</f>
        <v>19.920000000000002</v>
      </c>
    </row>
    <row r="178" spans="1:3" x14ac:dyDescent="0.3">
      <c r="A178" s="14" t="str">
        <f>IF([1]屬性克制表!AQ178 = "", "", [1]屬性克制表!AQ178)</f>
        <v>Mega黑魯加</v>
      </c>
      <c r="B178" s="15" t="str">
        <f>[1]屬性克制表!AO178</f>
        <v>惡</v>
      </c>
      <c r="C178" s="14">
        <f>IF([1]屬性克制表!AS178 = "", "", [1]屬性克制表!AS178)</f>
        <v>18.63</v>
      </c>
    </row>
    <row r="179" spans="1:3" x14ac:dyDescent="0.3">
      <c r="A179" s="14" t="str">
        <f>IF([1]屬性克制表!AQ179 = "", "", [1]屬性克制表!AQ179)</f>
        <v>Mega暴鯉龍</v>
      </c>
      <c r="B179" s="15" t="str">
        <f>[1]屬性克制表!AO179</f>
        <v>惡</v>
      </c>
      <c r="C179" s="14">
        <f>IF([1]屬性克制表!AS179 = "", "", [1]屬性克制表!AS179)</f>
        <v>16</v>
      </c>
    </row>
    <row r="180" spans="1:3" x14ac:dyDescent="0.3">
      <c r="A180" s="14" t="str">
        <f>IF([1]屬性克制表!AQ180 = "", "", [1]屬性克制表!AQ180)</f>
        <v>達克萊伊</v>
      </c>
      <c r="B180" s="15" t="str">
        <f>[1]屬性克制表!AO180</f>
        <v>惡</v>
      </c>
      <c r="C180" s="14">
        <f>IF([1]屬性克制表!AS180 = "", "", [1]屬性克制表!AS180)</f>
        <v>16.940000000000001</v>
      </c>
    </row>
    <row r="181" spans="1:3" x14ac:dyDescent="0.3">
      <c r="A181" s="14" t="str">
        <f>IF([1]屬性克制表!AQ181 = "", "", [1]屬性克制表!AQ181)</f>
        <v>暗影班基拉斯</v>
      </c>
      <c r="B181" s="15" t="str">
        <f>[1]屬性克制表!AO181</f>
        <v>惡</v>
      </c>
      <c r="C181" s="14">
        <f>IF([1]屬性克制表!AS181 = "", "", [1]屬性克制表!AS181)</f>
        <v>20.32</v>
      </c>
    </row>
    <row r="182" spans="1:3" x14ac:dyDescent="0.3">
      <c r="A182" s="14" t="str">
        <f>IF([1]屬性克制表!AQ182 = "", "", [1]屬性克制表!AQ182)</f>
        <v>暗影三首惡龍</v>
      </c>
      <c r="B182" s="15" t="str">
        <f>[1]屬性克制表!AO182</f>
        <v>惡</v>
      </c>
      <c r="C182" s="14">
        <f>IF([1]屬性克制表!AS182 = "", "", [1]屬性克制表!AS182)</f>
        <v>20.84</v>
      </c>
    </row>
    <row r="183" spans="1:3" x14ac:dyDescent="0.3">
      <c r="A183" s="14" t="str">
        <f>IF([1]屬性克制表!AQ183 = "", "", [1]屬性克制表!AQ183)</f>
        <v>三首惡龍</v>
      </c>
      <c r="B183" s="15" t="str">
        <f>[1]屬性克制表!AO183</f>
        <v>惡</v>
      </c>
      <c r="C183" s="14">
        <f>IF([1]屬性克制表!AS183 = "", "", [1]屬性克制表!AS183)</f>
        <v>17.2</v>
      </c>
    </row>
    <row r="184" spans="1:3" x14ac:dyDescent="0.3">
      <c r="A184" s="14" t="str">
        <f>IF([1]屬性克制表!AQ184 = "", "", [1]屬性克制表!AQ184)</f>
        <v>Mega阿勃梭魯</v>
      </c>
      <c r="B184" s="15" t="str">
        <f>[1]屬性克制表!AO184</f>
        <v>惡</v>
      </c>
      <c r="C184" s="14">
        <f>IF([1]屬性克制表!AS184 = "", "", [1]屬性克制表!AS184)</f>
        <v>22.21</v>
      </c>
    </row>
    <row r="185" spans="1:3" x14ac:dyDescent="0.3">
      <c r="A185" s="14" t="str">
        <f>IF([1]屬性克制表!AQ185 = "", "", [1]屬性克制表!AQ185)</f>
        <v>劍之王</v>
      </c>
      <c r="B185" s="15" t="str">
        <f>[1]屬性克制表!AO185</f>
        <v>鋼</v>
      </c>
      <c r="C185" s="14">
        <f>IF([1]屬性克制表!AS185 = "", "", [1]屬性克制表!AS185)</f>
        <v>25.87</v>
      </c>
    </row>
    <row r="186" spans="1:3" x14ac:dyDescent="0.3">
      <c r="A186" s="14" t="str">
        <f>IF([1]屬性克制表!AQ186 = "", "", [1]屬性克制表!AQ186)</f>
        <v>Mega路卡利歐</v>
      </c>
      <c r="B186" s="15" t="str">
        <f>[1]屬性克制表!AO186</f>
        <v>鋼</v>
      </c>
      <c r="C186" s="14">
        <f>IF([1]屬性克制表!AS186 = "", "", [1]屬性克制表!AS186)</f>
        <v>21.9</v>
      </c>
    </row>
    <row r="187" spans="1:3" x14ac:dyDescent="0.3">
      <c r="A187" s="14" t="str">
        <f>IF([1]屬性克制表!AQ187 = "", "", [1]屬性克制表!AQ187)</f>
        <v>盾之王</v>
      </c>
      <c r="B187" s="15" t="str">
        <f>[1]屬性克制表!AO187</f>
        <v>鋼</v>
      </c>
      <c r="C187" s="14">
        <f>IF([1]屬性克制表!AS187 = "", "", [1]屬性克制表!AS187)</f>
        <v>24.77</v>
      </c>
    </row>
    <row r="188" spans="1:3" x14ac:dyDescent="0.3">
      <c r="A188" s="14" t="str">
        <f>IF([1]屬性克制表!AQ188 = "", "", [1]屬性克制表!AQ188)</f>
        <v>奈克洛茲瑪-黃昏之鬃</v>
      </c>
      <c r="B188" s="15" t="str">
        <f>[1]屬性克制表!AO188</f>
        <v>鋼</v>
      </c>
      <c r="C188" s="14">
        <f>IF([1]屬性克制表!AS188 = "", "", [1]屬性克制表!AS188)</f>
        <v>25.02</v>
      </c>
    </row>
    <row r="189" spans="1:3" x14ac:dyDescent="0.3">
      <c r="A189" s="14" t="str">
        <f>IF([1]屬性克制表!AQ189 = "", "", [1]屬性克制表!AQ189)</f>
        <v>Mega巨金怪</v>
      </c>
      <c r="B189" s="15" t="str">
        <f>[1]屬性克制表!AO189</f>
        <v>鋼</v>
      </c>
      <c r="C189" s="14">
        <f>IF([1]屬性克制表!AS189 = "", "", [1]屬性克制表!AS189)</f>
        <v>20.71</v>
      </c>
    </row>
    <row r="190" spans="1:3" x14ac:dyDescent="0.3">
      <c r="A190" s="14" t="str">
        <f>IF([1]屬性克制表!AQ190 = "", "", [1]屬性克制表!AQ190)</f>
        <v>暗影巨金怪</v>
      </c>
      <c r="B190" s="15" t="str">
        <f>[1]屬性克制表!AO190</f>
        <v>鋼</v>
      </c>
      <c r="C190" s="14">
        <f>IF([1]屬性克制表!AS190 = "", "", [1]屬性克制表!AS190)</f>
        <v>21.99</v>
      </c>
    </row>
    <row r="191" spans="1:3" x14ac:dyDescent="0.3">
      <c r="A191" s="14" t="str">
        <f>IF([1]屬性克制表!AQ191 = "", "", [1]屬性克制表!AQ191)</f>
        <v>巨金怪</v>
      </c>
      <c r="B191" s="15" t="str">
        <f>[1]屬性克制表!AO191</f>
        <v>鋼</v>
      </c>
      <c r="C191" s="14">
        <f>IF([1]屬性克制表!AS191 = "", "", [1]屬性克制表!AS191)</f>
        <v>18.16</v>
      </c>
    </row>
    <row r="192" spans="1:3" x14ac:dyDescent="0.3">
      <c r="A192" s="14" t="str">
        <f>IF([1]屬性克制表!AQ192 = "", "", [1]屬性克制表!AQ192)</f>
        <v>起源帝牙盧卡</v>
      </c>
      <c r="B192" s="15" t="str">
        <f>[1]屬性克制表!AO192</f>
        <v>鋼</v>
      </c>
      <c r="C192" s="14">
        <f>IF([1]屬性克制表!AS192 = "", "", [1]屬性克制表!AS192)</f>
        <v>15.94</v>
      </c>
    </row>
    <row r="193" spans="1:3" x14ac:dyDescent="0.3">
      <c r="A193" s="14" t="str">
        <f>IF([1]屬性克制表!AQ193 = "", "", [1]屬性克制表!AQ193)</f>
        <v>帝牙盧卡</v>
      </c>
      <c r="B193" s="15" t="str">
        <f>[1]屬性克制表!AO193</f>
        <v>鋼</v>
      </c>
      <c r="C193" s="14">
        <f>IF([1]屬性克制表!AS193 = "", "", [1]屬性克制表!AS193)</f>
        <v>16.239999999999998</v>
      </c>
    </row>
    <row r="194" spans="1:3" x14ac:dyDescent="0.3">
      <c r="A194" s="14" t="str">
        <f>IF([1]屬性克制表!AQ194 = "", "", [1]屬性克制表!AQ194)</f>
        <v>Mega波士可多拉</v>
      </c>
      <c r="B194" s="15" t="str">
        <f>[1]屬性克制表!AO194</f>
        <v>鋼</v>
      </c>
      <c r="C194" s="14">
        <f>IF([1]屬性克制表!AS194 = "", "", [1]屬性克制表!AS194)</f>
        <v>15.01</v>
      </c>
    </row>
    <row r="195" spans="1:3" x14ac:dyDescent="0.3">
      <c r="A195" s="14" t="str">
        <f>IF([1]屬性克制表!AQ195 = "", "", [1]屬性克制表!AQ195)</f>
        <v>美錄梅塔</v>
      </c>
      <c r="B195" s="15" t="str">
        <f>[1]屬性克制表!AO195</f>
        <v>鋼</v>
      </c>
      <c r="C195" s="14">
        <f>IF([1]屬性克制表!AS195 = "", "", [1]屬性克制表!AS195)</f>
        <v>16.16</v>
      </c>
    </row>
    <row r="196" spans="1:3" x14ac:dyDescent="0.3">
      <c r="A196" s="14" t="str">
        <f>IF([1]屬性克制表!AQ196 = "", "", [1]屬性克制表!AQ196)</f>
        <v>蓋諾賽克特</v>
      </c>
      <c r="B196" s="15" t="str">
        <f>[1]屬性克制表!AO196</f>
        <v>鋼</v>
      </c>
      <c r="C196" s="14">
        <f>IF([1]屬性克制表!AS196 = "", "", [1]屬性克制表!AS196)</f>
        <v>15.89</v>
      </c>
    </row>
    <row r="197" spans="1:3" x14ac:dyDescent="0.3">
      <c r="A197" s="14" t="str">
        <f>IF([1]屬性克制表!AQ197 = "", "", [1]屬性克制表!AQ197)</f>
        <v>Mega巨鉗螳螂</v>
      </c>
      <c r="B197" s="15" t="str">
        <f>[1]屬性克制表!AO197</f>
        <v>鋼</v>
      </c>
      <c r="C197" s="14">
        <f>IF([1]屬性克制表!AS197 = "", "", [1]屬性克制表!AS197)</f>
        <v>15.06</v>
      </c>
    </row>
    <row r="198" spans="1:3" x14ac:dyDescent="0.3">
      <c r="A198" s="14" t="str">
        <f>IF([1]屬性克制表!AQ198 = "", "", [1]屬性克制表!AQ198)</f>
        <v>龍頭地鼠</v>
      </c>
      <c r="B198" s="15" t="str">
        <f>[1]屬性克制表!AO198</f>
        <v>鋼</v>
      </c>
      <c r="C198" s="14">
        <f>IF([1]屬性克制表!AS198 = "", "", [1]屬性克制表!AS198)</f>
        <v>15.63</v>
      </c>
    </row>
    <row r="199" spans="1:3" x14ac:dyDescent="0.3">
      <c r="A199" s="14" t="str">
        <f>IF([1]屬性克制表!AQ199 = "", "", [1]屬性克制表!AQ199)</f>
        <v>巨鍛匠</v>
      </c>
      <c r="B199" s="15" t="str">
        <f>[1]屬性克制表!AO199</f>
        <v>鋼</v>
      </c>
      <c r="C199" s="14">
        <f>IF([1]屬性克制表!AS199 = "", "", [1]屬性克制表!AS199)</f>
        <v>18.07</v>
      </c>
    </row>
    <row r="200" spans="1:3" x14ac:dyDescent="0.3">
      <c r="A200" s="14" t="str">
        <f>IF([1]屬性克制表!AQ200 = "", "", [1]屬性克制表!AQ200)</f>
        <v>Mega沙奈朵</v>
      </c>
      <c r="B200" s="15" t="str">
        <f>[1]屬性克制表!AO200</f>
        <v>妖精</v>
      </c>
      <c r="C200" s="14">
        <f>IF([1]屬性克制表!AS200 = "", "", [1]屬性克制表!AS200)</f>
        <v>19.920000000000002</v>
      </c>
    </row>
    <row r="201" spans="1:3" x14ac:dyDescent="0.3">
      <c r="A201" s="14" t="str">
        <f>IF([1]屬性克制表!AQ201 = "", "", [1]屬性克制表!AQ201)</f>
        <v>眷戀雲化身形態</v>
      </c>
      <c r="B201" s="15" t="str">
        <f>[1]屬性克制表!AO201</f>
        <v>妖精</v>
      </c>
      <c r="C201" s="14">
        <f>IF([1]屬性克制表!AS201 = "", "", [1]屬性克制表!AS201)</f>
        <v>17.57</v>
      </c>
    </row>
    <row r="202" spans="1:3" x14ac:dyDescent="0.3">
      <c r="A202" s="14" t="str">
        <f>IF([1]屬性克制表!AQ202 = "", "", [1]屬性克制表!AQ202)</f>
        <v>Mega蒂安希</v>
      </c>
      <c r="B202" s="15" t="str">
        <f>[1]屬性克制表!AO202</f>
        <v>妖精</v>
      </c>
      <c r="C202" s="14">
        <f>IF([1]屬性克制表!AS202 = "", "", [1]屬性克制表!AS202)</f>
        <v>19.16</v>
      </c>
    </row>
    <row r="203" spans="1:3" x14ac:dyDescent="0.3">
      <c r="A203" s="14" t="str">
        <f>IF([1]屬性克制表!AQ203 = "", "", [1]屬性克制表!AQ203)</f>
        <v>布魯皇</v>
      </c>
      <c r="B203" s="15" t="str">
        <f>[1]屬性克制表!AO203</f>
        <v>妖精</v>
      </c>
      <c r="C203" s="14">
        <f>IF([1]屬性克制表!AS203 = "", "", [1]屬性克制表!AS203)</f>
        <v>13.85</v>
      </c>
    </row>
    <row r="204" spans="1:3" x14ac:dyDescent="0.3">
      <c r="A204" s="14" t="str">
        <f>IF([1]屬性克制表!AQ204 = "", "", [1]屬性克制表!AQ204)</f>
        <v>哲爾尼亞斯</v>
      </c>
      <c r="B204" s="15" t="str">
        <f>[1]屬性克制表!AO204</f>
        <v>妖精</v>
      </c>
      <c r="C204" s="14">
        <f>IF([1]屬性克制表!AS204 = "", "", [1]屬性克制表!AS204)</f>
        <v>15.17</v>
      </c>
    </row>
    <row r="205" spans="1:3" x14ac:dyDescent="0.3">
      <c r="A205" s="14" t="str">
        <f>IF([1]屬性克制表!AQ205 = "", "", [1]屬性克制表!AQ205)</f>
        <v>仙子伊布</v>
      </c>
      <c r="B205" s="15" t="str">
        <f>[1]屬性克制表!AO205</f>
        <v>妖精</v>
      </c>
      <c r="C205" s="14">
        <f>IF([1]屬性克制表!AS205 = "", "", [1]屬性克制表!AS205)</f>
        <v>12.99</v>
      </c>
    </row>
    <row r="206" spans="1:3" x14ac:dyDescent="0.3">
      <c r="A206" s="14" t="str">
        <f>IF([1]屬性克制表!AQ206 = "", "", [1]屬性克制表!AQ206)</f>
        <v>波克基斯</v>
      </c>
      <c r="B206" s="15" t="str">
        <f>[1]屬性克制表!AO206</f>
        <v>妖精</v>
      </c>
      <c r="C206" s="14">
        <f>IF([1]屬性克制表!AS206 = "", "", [1]屬性克制表!AS206)</f>
        <v>14.2</v>
      </c>
    </row>
    <row r="207" spans="1:3" x14ac:dyDescent="0.3">
      <c r="A207" s="14" t="str">
        <f>IF([1]屬性克制表!AQ207 = "", "", [1]屬性克制表!AQ207)</f>
        <v>沙奈朵</v>
      </c>
      <c r="B207" s="15" t="str">
        <f>[1]屬性克制表!AO207</f>
        <v>妖精</v>
      </c>
      <c r="C207" s="14">
        <f>IF([1]屬性克制表!AS207 = "", "", [1]屬性克制表!AS207)</f>
        <v>14.9</v>
      </c>
    </row>
    <row r="208" spans="1:3" x14ac:dyDescent="0.3">
      <c r="A208" s="14" t="str">
        <f>IF([1]屬性克制表!AQ208 = "", "", [1]屬性克制表!AQ208)</f>
        <v>布莉姆溫</v>
      </c>
      <c r="B208" s="15" t="str">
        <f>[1]屬性克制表!AO208</f>
        <v>妖精</v>
      </c>
      <c r="C208" s="14">
        <f>IF([1]屬性克制表!AS208 = "", "", [1]屬性克制表!AS208)</f>
        <v>14.88</v>
      </c>
    </row>
    <row r="209" spans="1:3" x14ac:dyDescent="0.3">
      <c r="A209" s="14" t="str">
        <f>IF([1]屬性克制表!AQ209 = "", "", [1]屬性克制表!AQ209)</f>
        <v>卡璞・蝶蝶</v>
      </c>
      <c r="B209" s="15" t="str">
        <f>[1]屬性克制表!AO209</f>
        <v>妖精</v>
      </c>
      <c r="C209" s="14">
        <f>IF([1]屬性克制表!AS209 = "", "", [1]屬性克制表!AS209)</f>
        <v>15.74</v>
      </c>
    </row>
    <row r="210" spans="1:3" x14ac:dyDescent="0.3">
      <c r="A210" s="14" t="str">
        <f>IF([1]屬性克制表!AQ210 = "", "", [1]屬性克制表!AQ210)</f>
        <v>卡璞・鳴鳴</v>
      </c>
      <c r="B210" s="15" t="str">
        <f>[1]屬性克制表!AO210</f>
        <v>妖精</v>
      </c>
      <c r="C210" s="14">
        <f>IF([1]屬性克制表!AS210 = "", "", [1]屬性克制表!AS210)</f>
        <v>15.45</v>
      </c>
    </row>
    <row r="211" spans="1:3" x14ac:dyDescent="0.3">
      <c r="A211" s="14" t="str">
        <f>IF([1]屬性克制表!AQ211 = "", "", [1]屬性克制表!AQ211)</f>
        <v>卡璞・哞哞</v>
      </c>
      <c r="B211" s="15" t="str">
        <f>[1]屬性克制表!AO211</f>
        <v>妖精</v>
      </c>
      <c r="C211" s="14">
        <f>IF([1]屬性克制表!AS211 = "", "", [1]屬性克制表!AS211)</f>
        <v>15.65</v>
      </c>
    </row>
    <row r="212" spans="1:3" x14ac:dyDescent="0.3">
      <c r="A212" s="14" t="str">
        <f>IF([1]屬性克制表!AQ212 = "", "", [1]屬性克制表!AQ212)</f>
        <v>眷戀雲靈獸形態</v>
      </c>
      <c r="B212" s="15" t="str">
        <f>[1]屬性克制表!AO212</f>
        <v>妖精</v>
      </c>
      <c r="C212" s="14">
        <f>IF([1]屬性克制表!AS212 = "", "", [1]屬性克制表!AS212)</f>
        <v>13.82</v>
      </c>
    </row>
    <row r="213" spans="1:3" x14ac:dyDescent="0.3">
      <c r="A213" s="14" t="str">
        <f>IF([1]屬性克制表!AQ213 = "", "", [1]屬性克制表!AQ213)</f>
        <v>巨鍛匠</v>
      </c>
      <c r="B213" s="15" t="str">
        <f>IF([1]屬性克制表!AO213 = "", "", [1]屬性克制表!AO213)</f>
        <v>妖精</v>
      </c>
      <c r="C213" s="14">
        <f>IF([1]屬性克制表!AS213 = "", "", [1]屬性克制表!AS213)</f>
        <v>10.11</v>
      </c>
    </row>
    <row r="214" spans="1:3" x14ac:dyDescent="0.3">
      <c r="A214" s="14" t="str">
        <f>IF([1]屬性克制表!AQ214 = "", "", [1]屬性克制表!AQ214)</f>
        <v/>
      </c>
      <c r="B214" s="15" t="str">
        <f>IF([1]屬性克制表!AO214 = "", "", [1]屬性克制表!AO214)</f>
        <v/>
      </c>
      <c r="C214" s="14" t="str">
        <f>IF([1]屬性克制表!AS214 = "", "", [1]屬性克制表!AS214)</f>
        <v/>
      </c>
    </row>
    <row r="215" spans="1:3" x14ac:dyDescent="0.3">
      <c r="A215" s="14" t="str">
        <f>IF([1]屬性克制表!AQ215 = "", "", [1]屬性克制表!AQ215)</f>
        <v/>
      </c>
      <c r="B215" s="15" t="str">
        <f>IF([1]屬性克制表!AO215 = "", "", [1]屬性克制表!AO215)</f>
        <v/>
      </c>
      <c r="C215" s="14" t="str">
        <f>IF([1]屬性克制表!AS215 = "", "", [1]屬性克制表!AS215)</f>
        <v/>
      </c>
    </row>
    <row r="216" spans="1:3" x14ac:dyDescent="0.3">
      <c r="A216" s="14" t="str">
        <f>IF([1]屬性克制表!AQ216 = "", "", [1]屬性克制表!AQ216)</f>
        <v/>
      </c>
      <c r="B216" s="15" t="str">
        <f>IF([1]屬性克制表!AO216 = "", "", [1]屬性克制表!AO216)</f>
        <v/>
      </c>
      <c r="C216" s="14" t="str">
        <f>IF([1]屬性克制表!AS216 = "", "", [1]屬性克制表!AS216)</f>
        <v/>
      </c>
    </row>
    <row r="217" spans="1:3" x14ac:dyDescent="0.3">
      <c r="A217" s="14" t="str">
        <f>IF([1]屬性克制表!AQ217 = "", "", [1]屬性克制表!AQ217)</f>
        <v/>
      </c>
      <c r="B217" s="15" t="str">
        <f>IF([1]屬性克制表!AO217 = "", "", [1]屬性克制表!AO217)</f>
        <v/>
      </c>
      <c r="C217" s="14" t="str">
        <f>IF([1]屬性克制表!AS217 = "", "", [1]屬性克制表!AS217)</f>
        <v/>
      </c>
    </row>
  </sheetData>
  <sortState xmlns:xlrd2="http://schemas.microsoft.com/office/spreadsheetml/2017/richdata2" ref="A2:C75">
    <sortCondition descending="1" ref="C2:C7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</dc:creator>
  <cp:lastModifiedBy>游子寬</cp:lastModifiedBy>
  <dcterms:created xsi:type="dcterms:W3CDTF">2015-06-05T18:19:34Z</dcterms:created>
  <dcterms:modified xsi:type="dcterms:W3CDTF">2026-09-10T01:53:46Z</dcterms:modified>
</cp:coreProperties>
</file>