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4E1CD707-3996-4A1C-9C3F-B9720B9924CF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<sst xmlns="http://schemas.openxmlformats.org/spreadsheetml/2006/main" count="39" uniqueCount="20">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</sst>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36.186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武道熊師(一)</v>
          </cell>
          <cell r="Z19" t="str">
            <v>格鬥</v>
          </cell>
          <cell r="AA19" t="str">
            <v>惡</v>
          </cell>
          <cell r="AB19">
            <v>28.2</v>
          </cell>
        </row>
        <row r="20">
          <cell r="Y20" t="str">
            <v>武道熊師(連)</v>
          </cell>
          <cell r="Z20" t="str">
            <v>格鬥</v>
          </cell>
          <cell r="AA20" t="str">
            <v>水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顫弦蠑螈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洛奇亞</v>
          </cell>
          <cell r="Z63" t="str">
            <v>超能力</v>
          </cell>
          <cell r="AA63" t="str">
            <v>飛行</v>
          </cell>
          <cell r="AB63">
            <v>50.628999999999998</v>
          </cell>
        </row>
        <row r="64">
          <cell r="Y64" t="str">
            <v>飛腿郎</v>
          </cell>
          <cell r="Z64" t="str">
            <v>格鬥</v>
          </cell>
          <cell r="AA64" t="str">
            <v>無</v>
          </cell>
          <cell r="AB64">
            <v>18.600000000000001</v>
          </cell>
        </row>
        <row r="65">
          <cell r="Y65" t="str">
            <v>快拳郎</v>
          </cell>
          <cell r="Z65" t="str">
            <v>格鬥</v>
          </cell>
          <cell r="AA65" t="str">
            <v>無</v>
          </cell>
          <cell r="AB65">
            <v>20.16</v>
          </cell>
        </row>
        <row r="66">
          <cell r="Y66" t="str">
            <v>帝牙海獅</v>
          </cell>
          <cell r="Z66" t="str">
            <v>水</v>
          </cell>
          <cell r="AA66" t="str">
            <v>冰</v>
          </cell>
          <cell r="AB66">
            <v>30.652999999999999</v>
          </cell>
        </row>
        <row r="67">
          <cell r="Y67" t="str">
            <v>龐岩怪</v>
          </cell>
          <cell r="Z67" t="str">
            <v>岩石</v>
          </cell>
          <cell r="AA67" t="str">
            <v>無</v>
          </cell>
          <cell r="AB67">
            <v>28.728000000000002</v>
          </cell>
        </row>
        <row r="68">
          <cell r="Y68" t="str">
            <v>老翁龍</v>
          </cell>
          <cell r="Z68" t="str">
            <v>龍</v>
          </cell>
          <cell r="AA68" t="str">
            <v>一般</v>
          </cell>
          <cell r="AB68">
            <v>22.277999999999999</v>
          </cell>
        </row>
        <row r="69">
          <cell r="Y69" t="str">
            <v>鳳王</v>
          </cell>
          <cell r="Z69" t="str">
            <v>飛行</v>
          </cell>
          <cell r="AA69" t="str">
            <v>火</v>
          </cell>
          <cell r="AB69">
            <v>37.44</v>
          </cell>
        </row>
        <row r="70">
          <cell r="Y70" t="str">
            <v>鳳王(LV.20)</v>
          </cell>
          <cell r="Z70" t="str">
            <v>飛行</v>
          </cell>
          <cell r="AA70" t="str">
            <v>火</v>
          </cell>
          <cell r="AB70">
            <v>21.08</v>
          </cell>
        </row>
        <row r="71">
          <cell r="Y71" t="str">
            <v>鳳王(LV.30)</v>
          </cell>
          <cell r="Z71" t="str">
            <v>飛行</v>
          </cell>
          <cell r="AA71" t="str">
            <v>火</v>
          </cell>
          <cell r="AB71">
            <v>31.73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55" workbookViewId="0">
      <selection activeCell="E2" sqref="E2"/>
    </sheetView>
  </sheetViews>
  <sheetFormatPr defaultRowHeight="14.5" x14ac:dyDescent="0.3"/>
  <cols>
    <col min="1" max="1" width="15.5" bestFit="1" customWidth="1"/>
    <col min="2" max="3" width="9" style="13"/>
    <col min="4" max="4" width="12.699218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4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7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7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36.186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7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7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7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7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7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7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武道熊師(一)</v>
      </c>
      <c r="B18" s="13" t="str">
        <f>[1]攻守數據!Z19</f>
        <v>格鬥</v>
      </c>
      <c r="C18" s="13" t="str">
        <f>[1]攻守數據!AA19</f>
        <v>惡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武道熊師(連)</v>
      </c>
      <c r="B19" s="13" t="str">
        <f>[1]攻守數據!Z20</f>
        <v>格鬥</v>
      </c>
      <c r="C19" s="13" t="str">
        <f>[1]攻守數據!AA20</f>
        <v>水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顫弦蠑螈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洛奇亞</v>
      </c>
      <c r="B62" s="13" t="str">
        <f>[1]攻守數據!Z63</f>
        <v>超能力</v>
      </c>
      <c r="C62" s="13" t="str">
        <f>[1]攻守數據!AA63</f>
        <v>飛行</v>
      </c>
      <c r="D62" s="14">
        <f>[1]攻守數據!AB63</f>
        <v>50.628999999999998</v>
      </c>
    </row>
    <row r="63" spans="1:4" x14ac:dyDescent="0.3">
      <c r="A63" s="13" t="str">
        <f>[1]攻守數據!Y64</f>
        <v>飛腿郎</v>
      </c>
      <c r="B63" s="13" t="str">
        <f>[1]攻守數據!Z64</f>
        <v>格鬥</v>
      </c>
      <c r="C63" s="13" t="str">
        <f>[1]攻守數據!AA64</f>
        <v>無</v>
      </c>
      <c r="D63" s="14">
        <f>[1]攻守數據!AB64</f>
        <v>18.600000000000001</v>
      </c>
    </row>
    <row r="64" spans="1:4" x14ac:dyDescent="0.3">
      <c r="A64" s="15" t="str">
        <f>[1]攻守數據!Y65</f>
        <v>快拳郎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20.16</v>
      </c>
    </row>
    <row r="65" spans="1:4" x14ac:dyDescent="0.3">
      <c r="A65" s="15" t="str">
        <f>[1]攻守數據!Y66</f>
        <v>帝牙海獅</v>
      </c>
      <c r="B65" s="15" t="str">
        <f>[1]攻守數據!Z66</f>
        <v>水</v>
      </c>
      <c r="C65" s="15" t="str">
        <f>[1]攻守數據!AA66</f>
        <v>冰</v>
      </c>
      <c r="D65" s="16">
        <f>[1]攻守數據!AB66</f>
        <v>30.652999999999999</v>
      </c>
    </row>
    <row r="66" spans="1:4" x14ac:dyDescent="0.3">
      <c r="A66" s="15" t="str">
        <f>IF([1]攻守數據!Y67 = "", "", [1]攻守數據!Y67)</f>
        <v>龐岩怪</v>
      </c>
      <c r="B66" s="15" t="str">
        <f>IF([1]攻守數據!Z67 = "", "", [1]攻守數據!Z67)</f>
        <v>岩石</v>
      </c>
      <c r="C66" s="15" t="str">
        <f>IF([1]攻守數據!AA67 = "", "", [1]攻守數據!AA67)</f>
        <v>無</v>
      </c>
      <c r="D66" s="16">
        <f>IF([1]攻守數據!AB67 = "", "", [1]攻守數據!AB67)</f>
        <v>28.728000000000002</v>
      </c>
    </row>
    <row r="67" spans="1:4" x14ac:dyDescent="0.3">
      <c r="A67" s="15" t="str">
        <f>IF([1]攻守數據!Y68 = "", "", [1]攻守數據!Y68)</f>
        <v>老翁龍</v>
      </c>
      <c r="B67" s="15" t="str">
        <f>IF([1]攻守數據!Z68 = "", "", [1]攻守數據!Z68)</f>
        <v>龍</v>
      </c>
      <c r="C67" s="15" t="str">
        <f>IF([1]攻守數據!AA68 = "", "", [1]攻守數據!AA68)</f>
        <v>一般</v>
      </c>
      <c r="D67" s="16">
        <f>IF([1]攻守數據!AB68 = "", "", [1]攻守數據!AB68)</f>
        <v>22.277999999999999</v>
      </c>
    </row>
    <row r="68" spans="1:4" x14ac:dyDescent="0.3">
      <c r="A68" s="15" t="str">
        <f>IF([1]攻守數據!Y69 = "", "", [1]攻守數據!Y69)</f>
        <v>鳳王</v>
      </c>
      <c r="B68" s="15" t="str">
        <f>IF([1]攻守數據!Z69 = "", "", [1]攻守數據!Z69)</f>
        <v>飛行</v>
      </c>
      <c r="C68" s="15" t="str">
        <f>IF([1]攻守數據!AA69 = "", "", [1]攻守數據!AA69)</f>
        <v>火</v>
      </c>
      <c r="D68" s="16">
        <f>IF([1]攻守數據!AB69 = "", "", [1]攻守數據!AB69)</f>
        <v>37.44</v>
      </c>
    </row>
    <row r="69" spans="1:4" x14ac:dyDescent="0.3">
      <c r="A69" s="15" t="str">
        <f>IF([1]攻守數據!Y70 = "", "", [1]攻守數據!Y70)</f>
        <v>鳳王(LV.20)</v>
      </c>
      <c r="B69" s="15" t="str">
        <f>IF([1]攻守數據!Z70 = "", "", [1]攻守數據!Z70)</f>
        <v>飛行</v>
      </c>
      <c r="C69" s="15" t="str">
        <f>IF([1]攻守數據!AA70 = "", "", [1]攻守數據!AA70)</f>
        <v>火</v>
      </c>
      <c r="D69" s="16">
        <f>IF([1]攻守數據!AB70 = "", "", [1]攻守數據!AB70)</f>
        <v>21.08</v>
      </c>
    </row>
    <row r="70" spans="1:4" x14ac:dyDescent="0.3">
      <c r="A70" s="15" t="str">
        <f>IF([1]攻守數據!Y71 = "", "", [1]攻守數據!Y71)</f>
        <v>鳳王(LV.30)</v>
      </c>
      <c r="B70" s="15" t="str">
        <f>IF([1]攻守數據!Z71 = "", "", [1]攻守數據!Z71)</f>
        <v>飛行</v>
      </c>
      <c r="C70" s="15" t="str">
        <f>IF([1]攻守數據!AA71 = "", "", [1]攻守數據!AA71)</f>
        <v>火</v>
      </c>
      <c r="D70" s="16">
        <f>IF([1]攻守數據!AB71 = "", "", [1]攻守數據!AB71)</f>
        <v>31.73</v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6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6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6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6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6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6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6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6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6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6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6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6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6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6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6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6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6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6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6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6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6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6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6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6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6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6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6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6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6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6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6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6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6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6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6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6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6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6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6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6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6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6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6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6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6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6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6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6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6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6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6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6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6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6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6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6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6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6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6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6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6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6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6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6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6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6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6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6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6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6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6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6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6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6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6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6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6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6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6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6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2026-01-31T03:41:12Z</dcterms:modified>
</cp:coreProperties>
</file>