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寶可夢\Pokemon_App\"/>
    </mc:Choice>
  </mc:AlternateContent>
  <xr:revisionPtr revIDLastSave="0" documentId="13_ncr:1_{00C58B8D-AF8E-4DBB-85A6-A693A721606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7" i="1" l="1"/>
  <c r="B67" i="1"/>
  <c r="C67" i="1"/>
  <c r="D67" i="1"/>
  <c r="A68" i="1"/>
  <c r="B68" i="1"/>
  <c r="C68" i="1"/>
  <c r="D68" i="1"/>
  <c r="A69" i="1"/>
  <c r="B69" i="1"/>
  <c r="C69" i="1"/>
  <c r="D69" i="1"/>
  <c r="A70" i="1"/>
  <c r="B70" i="1"/>
  <c r="C70" i="1"/>
  <c r="D70" i="1"/>
  <c r="A71" i="1"/>
  <c r="B71" i="1"/>
  <c r="C71" i="1"/>
  <c r="D71" i="1"/>
  <c r="A72" i="1"/>
  <c r="B72" i="1"/>
  <c r="C72" i="1"/>
  <c r="D72" i="1"/>
  <c r="A73" i="1"/>
  <c r="B73" i="1"/>
  <c r="C73" i="1"/>
  <c r="D73" i="1"/>
  <c r="A74" i="1"/>
  <c r="B74" i="1"/>
  <c r="C74" i="1"/>
  <c r="D74" i="1"/>
  <c r="A75" i="1"/>
  <c r="B75" i="1"/>
  <c r="C75" i="1"/>
  <c r="D75" i="1"/>
  <c r="A76" i="1"/>
  <c r="B76" i="1"/>
  <c r="C76" i="1"/>
  <c r="D76" i="1"/>
  <c r="A77" i="1"/>
  <c r="B77" i="1"/>
  <c r="C77" i="1"/>
  <c r="D77" i="1"/>
  <c r="A78" i="1"/>
  <c r="B78" i="1"/>
  <c r="C78" i="1"/>
  <c r="D78" i="1"/>
  <c r="A79" i="1"/>
  <c r="B79" i="1"/>
  <c r="C79" i="1"/>
  <c r="D79" i="1"/>
  <c r="A80" i="1"/>
  <c r="B80" i="1"/>
  <c r="C80" i="1"/>
  <c r="D80" i="1"/>
  <c r="A81" i="1"/>
  <c r="B81" i="1"/>
  <c r="C81" i="1"/>
  <c r="D81" i="1"/>
  <c r="A82" i="1"/>
  <c r="B82" i="1"/>
  <c r="C82" i="1"/>
  <c r="D82" i="1"/>
  <c r="A83" i="1"/>
  <c r="B83" i="1"/>
  <c r="C83" i="1"/>
  <c r="D83" i="1"/>
  <c r="A84" i="1"/>
  <c r="B84" i="1"/>
  <c r="C84" i="1"/>
  <c r="D84" i="1"/>
  <c r="A85" i="1"/>
  <c r="B85" i="1"/>
  <c r="C85" i="1"/>
  <c r="D85" i="1"/>
  <c r="A86" i="1"/>
  <c r="B86" i="1"/>
  <c r="C86" i="1"/>
  <c r="D86" i="1"/>
  <c r="A87" i="1"/>
  <c r="B87" i="1"/>
  <c r="C87" i="1"/>
  <c r="D87" i="1"/>
  <c r="A88" i="1"/>
  <c r="B88" i="1"/>
  <c r="C88" i="1"/>
  <c r="D88" i="1"/>
  <c r="A89" i="1"/>
  <c r="B89" i="1"/>
  <c r="C89" i="1"/>
  <c r="D89" i="1"/>
  <c r="A90" i="1"/>
  <c r="B90" i="1"/>
  <c r="C90" i="1"/>
  <c r="D90" i="1"/>
  <c r="A91" i="1"/>
  <c r="B91" i="1"/>
  <c r="C91" i="1"/>
  <c r="D91" i="1"/>
  <c r="A92" i="1"/>
  <c r="B92" i="1"/>
  <c r="C92" i="1"/>
  <c r="D92" i="1"/>
  <c r="A93" i="1"/>
  <c r="B93" i="1"/>
  <c r="C93" i="1"/>
  <c r="D93" i="1"/>
  <c r="A94" i="1"/>
  <c r="B94" i="1"/>
  <c r="C94" i="1"/>
  <c r="D94" i="1"/>
  <c r="A95" i="1"/>
  <c r="B95" i="1"/>
  <c r="C95" i="1"/>
  <c r="D95" i="1"/>
  <c r="A96" i="1"/>
  <c r="B96" i="1"/>
  <c r="C96" i="1"/>
  <c r="D96" i="1"/>
  <c r="A97" i="1"/>
  <c r="B97" i="1"/>
  <c r="C97" i="1"/>
  <c r="D97" i="1"/>
  <c r="A98" i="1"/>
  <c r="B98" i="1"/>
  <c r="C98" i="1"/>
  <c r="D98" i="1"/>
  <c r="A99" i="1"/>
  <c r="B99" i="1"/>
  <c r="C99" i="1"/>
  <c r="D99" i="1"/>
  <c r="A100" i="1"/>
  <c r="B100" i="1"/>
  <c r="C100" i="1"/>
  <c r="D100" i="1"/>
  <c r="A101" i="1"/>
  <c r="B101" i="1"/>
  <c r="C101" i="1"/>
  <c r="D101" i="1"/>
  <c r="A102" i="1"/>
  <c r="B102" i="1"/>
  <c r="C102" i="1"/>
  <c r="D102" i="1"/>
  <c r="A103" i="1"/>
  <c r="B103" i="1"/>
  <c r="C103" i="1"/>
  <c r="D103" i="1"/>
  <c r="A104" i="1"/>
  <c r="B104" i="1"/>
  <c r="C104" i="1"/>
  <c r="D104" i="1"/>
  <c r="A105" i="1"/>
  <c r="B105" i="1"/>
  <c r="C105" i="1"/>
  <c r="D105" i="1"/>
  <c r="A106" i="1"/>
  <c r="B106" i="1"/>
  <c r="C106" i="1"/>
  <c r="D106" i="1"/>
  <c r="A107" i="1"/>
  <c r="B107" i="1"/>
  <c r="C107" i="1"/>
  <c r="D107" i="1"/>
  <c r="A108" i="1"/>
  <c r="B108" i="1"/>
  <c r="C108" i="1"/>
  <c r="D108" i="1"/>
  <c r="A109" i="1"/>
  <c r="B109" i="1"/>
  <c r="C109" i="1"/>
  <c r="D109" i="1"/>
  <c r="A110" i="1"/>
  <c r="B110" i="1"/>
  <c r="C110" i="1"/>
  <c r="D110" i="1"/>
  <c r="A111" i="1"/>
  <c r="B111" i="1"/>
  <c r="C111" i="1"/>
  <c r="D111" i="1"/>
  <c r="A112" i="1"/>
  <c r="B112" i="1"/>
  <c r="C112" i="1"/>
  <c r="D112" i="1"/>
  <c r="A113" i="1"/>
  <c r="B113" i="1"/>
  <c r="C113" i="1"/>
  <c r="D113" i="1"/>
  <c r="A114" i="1"/>
  <c r="B114" i="1"/>
  <c r="C114" i="1"/>
  <c r="D114" i="1"/>
  <c r="A115" i="1"/>
  <c r="B115" i="1"/>
  <c r="C115" i="1"/>
  <c r="D115" i="1"/>
  <c r="A116" i="1"/>
  <c r="B116" i="1"/>
  <c r="C116" i="1"/>
  <c r="D116" i="1"/>
  <c r="A117" i="1"/>
  <c r="B117" i="1"/>
  <c r="C117" i="1"/>
  <c r="D117" i="1"/>
  <c r="A118" i="1"/>
  <c r="B118" i="1"/>
  <c r="C118" i="1"/>
  <c r="D118" i="1"/>
  <c r="A119" i="1"/>
  <c r="B119" i="1"/>
  <c r="C119" i="1"/>
  <c r="D119" i="1"/>
  <c r="A120" i="1"/>
  <c r="B120" i="1"/>
  <c r="C120" i="1"/>
  <c r="D120" i="1"/>
  <c r="A121" i="1"/>
  <c r="B121" i="1"/>
  <c r="C121" i="1"/>
  <c r="D121" i="1"/>
  <c r="A122" i="1"/>
  <c r="B122" i="1"/>
  <c r="C122" i="1"/>
  <c r="D122" i="1"/>
  <c r="A123" i="1"/>
  <c r="B123" i="1"/>
  <c r="C123" i="1"/>
  <c r="D123" i="1"/>
  <c r="A124" i="1"/>
  <c r="B124" i="1"/>
  <c r="C124" i="1"/>
  <c r="D124" i="1"/>
  <c r="A125" i="1"/>
  <c r="B125" i="1"/>
  <c r="C125" i="1"/>
  <c r="D125" i="1"/>
  <c r="A126" i="1"/>
  <c r="B126" i="1"/>
  <c r="C126" i="1"/>
  <c r="D126" i="1"/>
  <c r="A127" i="1"/>
  <c r="B127" i="1"/>
  <c r="C127" i="1"/>
  <c r="D127" i="1"/>
  <c r="A128" i="1"/>
  <c r="B128" i="1"/>
  <c r="C128" i="1"/>
  <c r="D128" i="1"/>
  <c r="A129" i="1"/>
  <c r="B129" i="1"/>
  <c r="C129" i="1"/>
  <c r="D129" i="1"/>
  <c r="A130" i="1"/>
  <c r="B130" i="1"/>
  <c r="C130" i="1"/>
  <c r="D130" i="1"/>
  <c r="A131" i="1"/>
  <c r="B131" i="1"/>
  <c r="C131" i="1"/>
  <c r="D131" i="1"/>
  <c r="A132" i="1"/>
  <c r="B132" i="1"/>
  <c r="C132" i="1"/>
  <c r="D132" i="1"/>
  <c r="A133" i="1"/>
  <c r="B133" i="1"/>
  <c r="C133" i="1"/>
  <c r="D133" i="1"/>
  <c r="A134" i="1"/>
  <c r="B134" i="1"/>
  <c r="C134" i="1"/>
  <c r="D134" i="1"/>
  <c r="A135" i="1"/>
  <c r="B135" i="1"/>
  <c r="C135" i="1"/>
  <c r="D135" i="1"/>
  <c r="A136" i="1"/>
  <c r="B136" i="1"/>
  <c r="C136" i="1"/>
  <c r="D136" i="1"/>
  <c r="A137" i="1"/>
  <c r="B137" i="1"/>
  <c r="C137" i="1"/>
  <c r="D137" i="1"/>
  <c r="A138" i="1"/>
  <c r="B138" i="1"/>
  <c r="C138" i="1"/>
  <c r="D138" i="1"/>
  <c r="A139" i="1"/>
  <c r="B139" i="1"/>
  <c r="C139" i="1"/>
  <c r="D139" i="1"/>
  <c r="A140" i="1"/>
  <c r="B140" i="1"/>
  <c r="C140" i="1"/>
  <c r="D140" i="1"/>
  <c r="A141" i="1"/>
  <c r="B141" i="1"/>
  <c r="C141" i="1"/>
  <c r="D141" i="1"/>
  <c r="A142" i="1"/>
  <c r="B142" i="1"/>
  <c r="C142" i="1"/>
  <c r="D142" i="1"/>
  <c r="A143" i="1"/>
  <c r="B143" i="1"/>
  <c r="C143" i="1"/>
  <c r="D143" i="1"/>
  <c r="A144" i="1"/>
  <c r="B144" i="1"/>
  <c r="C144" i="1"/>
  <c r="D144" i="1"/>
  <c r="A145" i="1"/>
  <c r="B145" i="1"/>
  <c r="C145" i="1"/>
  <c r="D145" i="1"/>
  <c r="A146" i="1"/>
  <c r="B146" i="1"/>
  <c r="C146" i="1"/>
  <c r="D146" i="1"/>
  <c r="A147" i="1"/>
  <c r="B147" i="1"/>
  <c r="C147" i="1"/>
  <c r="D147" i="1"/>
  <c r="A148" i="1"/>
  <c r="B148" i="1"/>
  <c r="C148" i="1"/>
  <c r="D148" i="1"/>
  <c r="A149" i="1"/>
  <c r="B149" i="1"/>
  <c r="C149" i="1"/>
  <c r="D149" i="1"/>
  <c r="A150" i="1"/>
  <c r="B150" i="1"/>
  <c r="C150" i="1"/>
  <c r="D150" i="1"/>
  <c r="B66" i="1"/>
  <c r="C66" i="1"/>
  <c r="D66" i="1"/>
  <c r="A66" i="1"/>
  <c r="A1" i="1"/>
  <c r="B1" i="1"/>
  <c r="C1" i="1"/>
  <c r="D1" i="1"/>
  <c r="A2" i="1"/>
  <c r="B2" i="1"/>
  <c r="C2" i="1"/>
  <c r="D2" i="1"/>
  <c r="A3" i="1"/>
  <c r="B3" i="1"/>
  <c r="C3" i="1"/>
  <c r="D3" i="1"/>
  <c r="A4" i="1"/>
  <c r="B4" i="1"/>
  <c r="C4" i="1"/>
  <c r="D4" i="1"/>
  <c r="A5" i="1"/>
  <c r="B5" i="1"/>
  <c r="C5" i="1"/>
  <c r="D5" i="1"/>
  <c r="A6" i="1"/>
  <c r="B6" i="1"/>
  <c r="C6" i="1"/>
  <c r="D6" i="1"/>
  <c r="A7" i="1"/>
  <c r="B7" i="1"/>
  <c r="C7" i="1"/>
  <c r="D7" i="1"/>
  <c r="A8" i="1"/>
  <c r="B8" i="1"/>
  <c r="C8" i="1"/>
  <c r="D8" i="1"/>
  <c r="A9" i="1"/>
  <c r="B9" i="1"/>
  <c r="C9" i="1"/>
  <c r="D9" i="1"/>
  <c r="A10" i="1"/>
  <c r="B10" i="1"/>
  <c r="C10" i="1"/>
  <c r="D10" i="1"/>
  <c r="A11" i="1"/>
  <c r="B11" i="1"/>
  <c r="C11" i="1"/>
  <c r="D11" i="1"/>
  <c r="A12" i="1"/>
  <c r="B12" i="1"/>
  <c r="C12" i="1"/>
  <c r="D12" i="1"/>
  <c r="A13" i="1"/>
  <c r="B13" i="1"/>
  <c r="C13" i="1"/>
  <c r="D13" i="1"/>
  <c r="A14" i="1"/>
  <c r="B14" i="1"/>
  <c r="C14" i="1"/>
  <c r="D14" i="1"/>
  <c r="A15" i="1"/>
  <c r="B15" i="1"/>
  <c r="C15" i="1"/>
  <c r="D15" i="1"/>
  <c r="A16" i="1"/>
  <c r="B16" i="1"/>
  <c r="C16" i="1"/>
  <c r="D16" i="1"/>
  <c r="A17" i="1"/>
  <c r="B17" i="1"/>
  <c r="C17" i="1"/>
  <c r="D17" i="1"/>
  <c r="A18" i="1"/>
  <c r="B18" i="1"/>
  <c r="C18" i="1"/>
  <c r="D18" i="1"/>
  <c r="A19" i="1"/>
  <c r="B19" i="1"/>
  <c r="C19" i="1"/>
  <c r="D19" i="1"/>
  <c r="A20" i="1"/>
  <c r="B20" i="1"/>
  <c r="C20" i="1"/>
  <c r="D20" i="1"/>
  <c r="A21" i="1"/>
  <c r="B21" i="1"/>
  <c r="C21" i="1"/>
  <c r="D21" i="1"/>
  <c r="A22" i="1"/>
  <c r="B22" i="1"/>
  <c r="C22" i="1"/>
  <c r="D22" i="1"/>
  <c r="A23" i="1"/>
  <c r="B23" i="1"/>
  <c r="C23" i="1"/>
  <c r="D23" i="1"/>
  <c r="A24" i="1"/>
  <c r="B24" i="1"/>
  <c r="C24" i="1"/>
  <c r="D24" i="1"/>
  <c r="A25" i="1"/>
  <c r="B25" i="1"/>
  <c r="C25" i="1"/>
  <c r="D25" i="1"/>
  <c r="A26" i="1"/>
  <c r="B26" i="1"/>
  <c r="C26" i="1"/>
  <c r="D26" i="1"/>
  <c r="A27" i="1"/>
  <c r="B27" i="1"/>
  <c r="C27" i="1"/>
  <c r="D27" i="1"/>
  <c r="A28" i="1"/>
  <c r="B28" i="1"/>
  <c r="C28" i="1"/>
  <c r="D28" i="1"/>
  <c r="A29" i="1"/>
  <c r="B29" i="1"/>
  <c r="C29" i="1"/>
  <c r="D29" i="1"/>
  <c r="A30" i="1"/>
  <c r="B30" i="1"/>
  <c r="C30" i="1"/>
  <c r="D30" i="1"/>
  <c r="A31" i="1"/>
  <c r="B31" i="1"/>
  <c r="C31" i="1"/>
  <c r="D31" i="1"/>
  <c r="A32" i="1"/>
  <c r="B32" i="1"/>
  <c r="C32" i="1"/>
  <c r="D32" i="1"/>
  <c r="A33" i="1"/>
  <c r="B33" i="1"/>
  <c r="C33" i="1"/>
  <c r="D33" i="1"/>
  <c r="A34" i="1"/>
  <c r="B34" i="1"/>
  <c r="C34" i="1"/>
  <c r="D34" i="1"/>
  <c r="A35" i="1"/>
  <c r="B35" i="1"/>
  <c r="C35" i="1"/>
  <c r="D35" i="1"/>
  <c r="A36" i="1"/>
  <c r="B36" i="1"/>
  <c r="C36" i="1"/>
  <c r="D36" i="1"/>
  <c r="A37" i="1"/>
  <c r="B37" i="1"/>
  <c r="C37" i="1"/>
  <c r="D37" i="1"/>
  <c r="A38" i="1"/>
  <c r="B38" i="1"/>
  <c r="C38" i="1"/>
  <c r="D38" i="1"/>
  <c r="A39" i="1"/>
  <c r="B39" i="1"/>
  <c r="C39" i="1"/>
  <c r="D39" i="1"/>
  <c r="A40" i="1"/>
  <c r="B40" i="1"/>
  <c r="C40" i="1"/>
  <c r="D40" i="1"/>
  <c r="A41" i="1"/>
  <c r="B41" i="1"/>
  <c r="C41" i="1"/>
  <c r="D41" i="1"/>
  <c r="A42" i="1"/>
  <c r="B42" i="1"/>
  <c r="C42" i="1"/>
  <c r="D42" i="1"/>
  <c r="A43" i="1"/>
  <c r="B43" i="1"/>
  <c r="C43" i="1"/>
  <c r="D43" i="1"/>
  <c r="A44" i="1"/>
  <c r="B44" i="1"/>
  <c r="C44" i="1"/>
  <c r="D44" i="1"/>
  <c r="A45" i="1"/>
  <c r="B45" i="1"/>
  <c r="C45" i="1"/>
  <c r="D45" i="1"/>
  <c r="A46" i="1"/>
  <c r="B46" i="1"/>
  <c r="C46" i="1"/>
  <c r="D46" i="1"/>
  <c r="A47" i="1"/>
  <c r="B47" i="1"/>
  <c r="C47" i="1"/>
  <c r="D47" i="1"/>
  <c r="A48" i="1"/>
  <c r="B48" i="1"/>
  <c r="C48" i="1"/>
  <c r="D48" i="1"/>
  <c r="A49" i="1"/>
  <c r="B49" i="1"/>
  <c r="C49" i="1"/>
  <c r="D49" i="1"/>
  <c r="A50" i="1"/>
  <c r="B50" i="1"/>
  <c r="C50" i="1"/>
  <c r="D50" i="1"/>
  <c r="A51" i="1"/>
  <c r="B51" i="1"/>
  <c r="C51" i="1"/>
  <c r="D51" i="1"/>
  <c r="A52" i="1"/>
  <c r="B52" i="1"/>
  <c r="C52" i="1"/>
  <c r="D52" i="1"/>
  <c r="A53" i="1"/>
  <c r="B53" i="1"/>
  <c r="C53" i="1"/>
  <c r="D53" i="1"/>
  <c r="A54" i="1"/>
  <c r="B54" i="1"/>
  <c r="C54" i="1"/>
  <c r="D54" i="1"/>
  <c r="A55" i="1"/>
  <c r="B55" i="1"/>
  <c r="C55" i="1"/>
  <c r="D55" i="1"/>
  <c r="A56" i="1"/>
  <c r="B56" i="1"/>
  <c r="C56" i="1"/>
  <c r="D56" i="1"/>
  <c r="A57" i="1"/>
  <c r="B57" i="1"/>
  <c r="C57" i="1"/>
  <c r="D57" i="1"/>
  <c r="A58" i="1"/>
  <c r="B58" i="1"/>
  <c r="C58" i="1"/>
  <c r="D58" i="1"/>
  <c r="A59" i="1"/>
  <c r="B59" i="1"/>
  <c r="C59" i="1"/>
  <c r="D59" i="1"/>
  <c r="A60" i="1"/>
  <c r="B60" i="1"/>
  <c r="C60" i="1"/>
  <c r="D60" i="1"/>
  <c r="A61" i="1"/>
  <c r="B61" i="1"/>
  <c r="C61" i="1"/>
  <c r="D61" i="1"/>
  <c r="A62" i="1"/>
  <c r="B62" i="1"/>
  <c r="C62" i="1"/>
  <c r="D62" i="1"/>
  <c r="A63" i="1"/>
  <c r="B63" i="1"/>
  <c r="C63" i="1"/>
  <c r="D63" i="1"/>
  <c r="A64" i="1"/>
  <c r="B64" i="1"/>
  <c r="C64" i="1"/>
  <c r="D64" i="1"/>
  <c r="A65" i="1"/>
  <c r="B65" i="1"/>
  <c r="C65" i="1"/>
  <c r="D65" i="1"/>
</calcChain>
</file>

<file path=xl/sharedStrings.xml><?xml version="1.0" encoding="utf-8"?>
<sst xmlns="http://schemas.openxmlformats.org/spreadsheetml/2006/main" count="39" uniqueCount="20">
  <si>
    <t>攻/守</t>
    <phoneticPr fontId="3" type="noConversion"/>
  </si>
  <si>
    <t>一般</t>
    <phoneticPr fontId="3" type="noConversion"/>
  </si>
  <si>
    <t>火</t>
    <phoneticPr fontId="3" type="noConversion"/>
  </si>
  <si>
    <t>格鬥</t>
    <phoneticPr fontId="3" type="noConversion"/>
  </si>
  <si>
    <t>水</t>
    <phoneticPr fontId="3" type="noConversion"/>
  </si>
  <si>
    <t>飛行</t>
    <phoneticPr fontId="3" type="noConversion"/>
  </si>
  <si>
    <t>草</t>
    <phoneticPr fontId="3" type="noConversion"/>
  </si>
  <si>
    <t>毒</t>
    <phoneticPr fontId="3" type="noConversion"/>
  </si>
  <si>
    <t>電</t>
    <phoneticPr fontId="3" type="noConversion"/>
  </si>
  <si>
    <t>地面</t>
    <phoneticPr fontId="3" type="noConversion"/>
  </si>
  <si>
    <t>超能力</t>
    <phoneticPr fontId="3" type="noConversion"/>
  </si>
  <si>
    <t>岩石</t>
    <phoneticPr fontId="3" type="noConversion"/>
  </si>
  <si>
    <t>冰</t>
    <phoneticPr fontId="3" type="noConversion"/>
  </si>
  <si>
    <t>蟲</t>
    <phoneticPr fontId="3" type="noConversion"/>
  </si>
  <si>
    <t>龍</t>
    <phoneticPr fontId="3" type="noConversion"/>
  </si>
  <si>
    <t>幽靈</t>
    <phoneticPr fontId="3" type="noConversion"/>
  </si>
  <si>
    <t>惡</t>
    <phoneticPr fontId="3" type="noConversion"/>
  </si>
  <si>
    <t>鋼</t>
    <phoneticPr fontId="3" type="noConversion"/>
  </si>
  <si>
    <t>妖精</t>
    <phoneticPr fontId="3" type="noConversion"/>
  </si>
  <si>
    <t>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</si>
</sst>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4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6" fontId="0" fillId="0" borderId="0" xfId="0" applyNumberForma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攻守數據"/>
      <sheetName val="數據"/>
      <sheetName val="屬性克制表"/>
      <sheetName val="極巨傷害"/>
      <sheetName val="能量點"/>
    </sheetNames>
    <sheetDataSet>
      <sheetData sheetId="0">
        <row r="2">
          <cell r="Y2" t="str">
            <v>寶可夢</v>
          </cell>
          <cell r="Z2" t="str">
            <v>屬性一</v>
          </cell>
          <cell r="AA2" t="str">
            <v>屬性二</v>
          </cell>
          <cell r="AB2" t="str">
            <v>基礎防禦</v>
          </cell>
        </row>
        <row r="3">
          <cell r="Y3" t="str">
            <v>幸福蛋</v>
          </cell>
          <cell r="Z3" t="str">
            <v>一般</v>
          </cell>
          <cell r="AA3" t="str">
            <v>無</v>
          </cell>
          <cell r="AB3">
            <v>61.686</v>
          </cell>
        </row>
        <row r="4">
          <cell r="Y4" t="str">
            <v>藏瑪然特</v>
          </cell>
          <cell r="Z4" t="str">
            <v>鋼</v>
          </cell>
          <cell r="AA4" t="str">
            <v>格鬥</v>
          </cell>
          <cell r="AB4">
            <v>43.07</v>
          </cell>
        </row>
        <row r="5">
          <cell r="Y5" t="str">
            <v>卡比獸</v>
          </cell>
          <cell r="Z5" t="str">
            <v>一般</v>
          </cell>
          <cell r="AA5" t="str">
            <v>無</v>
          </cell>
          <cell r="AB5">
            <v>33.768000000000001</v>
          </cell>
        </row>
        <row r="6">
          <cell r="Y6" t="str">
            <v>水君</v>
          </cell>
          <cell r="Z6" t="str">
            <v>水</v>
          </cell>
          <cell r="AA6" t="str">
            <v>無</v>
          </cell>
          <cell r="AB6">
            <v>34.58</v>
          </cell>
        </row>
        <row r="7">
          <cell r="Y7" t="str">
            <v>無極汰那</v>
          </cell>
          <cell r="Z7" t="str">
            <v>龍</v>
          </cell>
          <cell r="AA7" t="str">
            <v>毒</v>
          </cell>
          <cell r="AB7">
            <v>35.802</v>
          </cell>
        </row>
        <row r="8">
          <cell r="Y8" t="str">
            <v>急凍鳥</v>
          </cell>
          <cell r="Z8" t="str">
            <v>冰</v>
          </cell>
          <cell r="AA8" t="str">
            <v>飛行</v>
          </cell>
          <cell r="AB8">
            <v>30.504000000000001</v>
          </cell>
        </row>
        <row r="9">
          <cell r="Y9" t="str">
            <v>拉普拉斯</v>
          </cell>
          <cell r="Z9" t="str">
            <v>水</v>
          </cell>
          <cell r="AA9" t="str">
            <v>冰</v>
          </cell>
          <cell r="AB9">
            <v>33.81</v>
          </cell>
        </row>
        <row r="10">
          <cell r="Y10" t="str">
            <v>拉帝亞斯</v>
          </cell>
          <cell r="Z10" t="str">
            <v>龍</v>
          </cell>
          <cell r="AA10" t="str">
            <v>超能力</v>
          </cell>
          <cell r="AB10">
            <v>22.308</v>
          </cell>
        </row>
        <row r="11">
          <cell r="Y11" t="str">
            <v>蒼響</v>
          </cell>
          <cell r="Z11" t="str">
            <v>鋼</v>
          </cell>
          <cell r="AA11" t="str">
            <v>妖精</v>
          </cell>
          <cell r="AB11">
            <v>36.848999999999997</v>
          </cell>
        </row>
        <row r="12">
          <cell r="Y12" t="str">
            <v>拉帝歐斯</v>
          </cell>
          <cell r="Z12" t="str">
            <v>龍</v>
          </cell>
          <cell r="AA12" t="str">
            <v>超能力</v>
          </cell>
          <cell r="AB12">
            <v>27.808</v>
          </cell>
        </row>
        <row r="13">
          <cell r="Y13" t="str">
            <v>巨金怪</v>
          </cell>
          <cell r="Z13" t="str">
            <v>鋼</v>
          </cell>
          <cell r="AA13" t="str">
            <v>超能力</v>
          </cell>
          <cell r="AB13">
            <v>30.428999999999998</v>
          </cell>
        </row>
        <row r="14">
          <cell r="Y14" t="str">
            <v>炎帝</v>
          </cell>
          <cell r="Z14" t="str">
            <v>火</v>
          </cell>
          <cell r="AA14" t="str">
            <v>無</v>
          </cell>
          <cell r="AB14">
            <v>23.552</v>
          </cell>
        </row>
        <row r="15">
          <cell r="Y15" t="str">
            <v>鋼鎧鴉</v>
          </cell>
          <cell r="Z15" t="str">
            <v>鋼</v>
          </cell>
          <cell r="AA15" t="str">
            <v>飛行</v>
          </cell>
          <cell r="AB15">
            <v>31.35</v>
          </cell>
        </row>
        <row r="16">
          <cell r="Y16" t="str">
            <v>幾何雪花</v>
          </cell>
          <cell r="Z16" t="str">
            <v>冰</v>
          </cell>
          <cell r="AA16" t="str">
            <v>無</v>
          </cell>
          <cell r="AB16">
            <v>26.295999999999999</v>
          </cell>
        </row>
        <row r="17">
          <cell r="Y17" t="str">
            <v>藏飽栗鼠</v>
          </cell>
          <cell r="Z17" t="str">
            <v>一般</v>
          </cell>
          <cell r="AA17" t="str">
            <v>無</v>
          </cell>
          <cell r="AB17">
            <v>29.295000000000002</v>
          </cell>
        </row>
        <row r="18">
          <cell r="Y18" t="str">
            <v>雷公</v>
          </cell>
          <cell r="Z18" t="str">
            <v>電</v>
          </cell>
          <cell r="AA18" t="str">
            <v>無</v>
          </cell>
          <cell r="AB18">
            <v>27.37</v>
          </cell>
        </row>
        <row r="19">
          <cell r="Y19" t="str">
            <v>武道熊師(連)</v>
          </cell>
          <cell r="Z19" t="str">
            <v>格鬥</v>
          </cell>
          <cell r="AA19" t="str">
            <v>水</v>
          </cell>
          <cell r="AB19">
            <v>28.2</v>
          </cell>
        </row>
        <row r="20">
          <cell r="Y20" t="str">
            <v>武道熊師(一)</v>
          </cell>
          <cell r="Z20" t="str">
            <v>格鬥</v>
          </cell>
          <cell r="AA20" t="str">
            <v>惡</v>
          </cell>
          <cell r="AB20">
            <v>28.2</v>
          </cell>
        </row>
        <row r="21">
          <cell r="Y21" t="str">
            <v>水箭龜</v>
          </cell>
          <cell r="Z21" t="str">
            <v>水</v>
          </cell>
          <cell r="AA21" t="str">
            <v>無</v>
          </cell>
          <cell r="AB21">
            <v>27.824999999999999</v>
          </cell>
        </row>
        <row r="22">
          <cell r="Y22" t="str">
            <v>閃電鳥</v>
          </cell>
          <cell r="Z22" t="str">
            <v>電</v>
          </cell>
          <cell r="AA22" t="str">
            <v>飛行</v>
          </cell>
          <cell r="AB22">
            <v>25.367999999999999</v>
          </cell>
        </row>
        <row r="23">
          <cell r="Y23" t="str">
            <v>轟擂金剛猩</v>
          </cell>
          <cell r="Z23" t="str">
            <v>草</v>
          </cell>
          <cell r="AA23" t="str">
            <v>無</v>
          </cell>
          <cell r="AB23">
            <v>27.027000000000001</v>
          </cell>
        </row>
        <row r="24">
          <cell r="Y24" t="str">
            <v>火焰鳥</v>
          </cell>
          <cell r="Z24" t="str">
            <v>火</v>
          </cell>
          <cell r="AA24" t="str">
            <v>飛行</v>
          </cell>
          <cell r="AB24">
            <v>23.797999999999998</v>
          </cell>
        </row>
        <row r="25">
          <cell r="Y25" t="str">
            <v>投擲猴</v>
          </cell>
          <cell r="Z25" t="str">
            <v>格鬥</v>
          </cell>
          <cell r="AA25" t="str">
            <v>無</v>
          </cell>
          <cell r="AB25">
            <v>24.103999999999999</v>
          </cell>
        </row>
        <row r="26">
          <cell r="Y26" t="str">
            <v>妙蛙花</v>
          </cell>
          <cell r="Z26" t="str">
            <v>草</v>
          </cell>
          <cell r="AA26" t="str">
            <v>毒</v>
          </cell>
          <cell r="AB26">
            <v>23.712</v>
          </cell>
        </row>
        <row r="27">
          <cell r="Y27" t="str">
            <v>毛毛角羊</v>
          </cell>
          <cell r="Z27" t="str">
            <v>一般</v>
          </cell>
          <cell r="AA27" t="str">
            <v>無</v>
          </cell>
          <cell r="AB27">
            <v>24.882999999999999</v>
          </cell>
        </row>
        <row r="28">
          <cell r="Y28" t="str">
            <v>多刺菊石獸</v>
          </cell>
          <cell r="Z28" t="str">
            <v>岩石</v>
          </cell>
          <cell r="AA28" t="str">
            <v>水</v>
          </cell>
          <cell r="AB28">
            <v>25.456</v>
          </cell>
        </row>
        <row r="29">
          <cell r="Y29" t="str">
            <v>壺壺</v>
          </cell>
          <cell r="Z29" t="str">
            <v>岩石</v>
          </cell>
          <cell r="AA29" t="str">
            <v>蟲</v>
          </cell>
          <cell r="AB29">
            <v>33.659999999999997</v>
          </cell>
        </row>
        <row r="30">
          <cell r="Y30" t="str">
            <v>怪力</v>
          </cell>
          <cell r="Z30" t="str">
            <v>格鬥</v>
          </cell>
          <cell r="AA30" t="str">
            <v>無</v>
          </cell>
          <cell r="AB30">
            <v>25.38</v>
          </cell>
        </row>
        <row r="31">
          <cell r="Y31" t="str">
            <v>噴火龍</v>
          </cell>
          <cell r="Z31" t="str">
            <v>火</v>
          </cell>
          <cell r="AA31" t="str">
            <v>飛行</v>
          </cell>
          <cell r="AB31">
            <v>22.62</v>
          </cell>
        </row>
        <row r="32">
          <cell r="Y32" t="str">
            <v>龍頭地鼠</v>
          </cell>
          <cell r="Z32" t="str">
            <v>地面</v>
          </cell>
          <cell r="AA32" t="str">
            <v>鋼</v>
          </cell>
          <cell r="AB32">
            <v>23.69</v>
          </cell>
        </row>
        <row r="33">
          <cell r="Y33" t="str">
            <v>灰塵山</v>
          </cell>
          <cell r="Z33" t="str">
            <v>毒</v>
          </cell>
          <cell r="AA33" t="str">
            <v>無</v>
          </cell>
          <cell r="AB33">
            <v>22.68</v>
          </cell>
        </row>
        <row r="34">
          <cell r="Y34" t="str">
            <v>閃焰王牌</v>
          </cell>
          <cell r="Z34" t="str">
            <v>火</v>
          </cell>
          <cell r="AA34" t="str">
            <v>無</v>
          </cell>
          <cell r="AB34">
            <v>24.36</v>
          </cell>
        </row>
        <row r="35">
          <cell r="Y35" t="str">
            <v>吼鯨王</v>
          </cell>
          <cell r="Z35" t="str">
            <v>水</v>
          </cell>
          <cell r="AA35" t="str">
            <v>無</v>
          </cell>
          <cell r="AB35">
            <v>22.88</v>
          </cell>
        </row>
        <row r="36">
          <cell r="Y36" t="str">
            <v>鐮刀盔</v>
          </cell>
          <cell r="Z36" t="str">
            <v>水</v>
          </cell>
          <cell r="AA36" t="str">
            <v>岩石</v>
          </cell>
          <cell r="AB36">
            <v>21.172000000000001</v>
          </cell>
        </row>
        <row r="37">
          <cell r="Y37" t="str">
            <v>高傲雉雞</v>
          </cell>
          <cell r="Z37" t="str">
            <v>一般</v>
          </cell>
          <cell r="AA37" t="str">
            <v>飛行</v>
          </cell>
          <cell r="AB37">
            <v>20.32</v>
          </cell>
        </row>
        <row r="38">
          <cell r="Y38" t="str">
            <v>列陣兵</v>
          </cell>
          <cell r="Z38" t="str">
            <v>格鬥</v>
          </cell>
          <cell r="AA38" t="str">
            <v>無</v>
          </cell>
          <cell r="AB38">
            <v>19.591000000000001</v>
          </cell>
        </row>
        <row r="39">
          <cell r="Y39" t="str">
            <v>布莉姆溫</v>
          </cell>
          <cell r="Z39" t="str">
            <v>妖精</v>
          </cell>
          <cell r="AA39" t="str">
            <v>超能力</v>
          </cell>
          <cell r="AB39">
            <v>19.84</v>
          </cell>
        </row>
        <row r="40">
          <cell r="Y40" t="str">
            <v>狒狒達摩</v>
          </cell>
          <cell r="Z40" t="str">
            <v>火</v>
          </cell>
          <cell r="AA40" t="str">
            <v>無</v>
          </cell>
          <cell r="AB40">
            <v>19.3</v>
          </cell>
        </row>
        <row r="41">
          <cell r="Y41" t="str">
            <v>巨鉗蟹</v>
          </cell>
          <cell r="Z41" t="str">
            <v>水</v>
          </cell>
          <cell r="AA41" t="str">
            <v>無</v>
          </cell>
          <cell r="AB41">
            <v>19.431000000000001</v>
          </cell>
        </row>
        <row r="42">
          <cell r="Y42" t="str">
            <v>戰弦蠑螈</v>
          </cell>
          <cell r="Z42" t="str">
            <v>電</v>
          </cell>
          <cell r="AA42" t="str">
            <v>毒</v>
          </cell>
          <cell r="AB42">
            <v>18.634</v>
          </cell>
        </row>
        <row r="43">
          <cell r="Y43" t="str">
            <v>千面避役</v>
          </cell>
          <cell r="Z43" t="str">
            <v>水</v>
          </cell>
          <cell r="AA43" t="str">
            <v>無</v>
          </cell>
          <cell r="AB43">
            <v>18.081</v>
          </cell>
        </row>
        <row r="44">
          <cell r="Y44" t="str">
            <v>耿鬼</v>
          </cell>
          <cell r="Z44" t="str">
            <v>幽靈</v>
          </cell>
          <cell r="AA44" t="str">
            <v>毒</v>
          </cell>
          <cell r="AB44">
            <v>18.224</v>
          </cell>
        </row>
        <row r="45">
          <cell r="Y45" t="str">
            <v>巴大蝶</v>
          </cell>
          <cell r="Z45" t="str">
            <v>蟲</v>
          </cell>
          <cell r="AA45" t="str">
            <v>飛行</v>
          </cell>
          <cell r="AB45">
            <v>15.827</v>
          </cell>
        </row>
        <row r="46">
          <cell r="Y46" t="str">
            <v>勾魂眼</v>
          </cell>
          <cell r="Z46" t="str">
            <v>幽靈</v>
          </cell>
          <cell r="AA46" t="str">
            <v>惡</v>
          </cell>
          <cell r="AB46">
            <v>13.688000000000001</v>
          </cell>
        </row>
        <row r="47">
          <cell r="Y47" t="str">
            <v>胡地</v>
          </cell>
          <cell r="Z47" t="str">
            <v>超能力</v>
          </cell>
          <cell r="AA47" t="str">
            <v>無</v>
          </cell>
          <cell r="AB47">
            <v>18.288</v>
          </cell>
        </row>
        <row r="48">
          <cell r="Y48" t="str">
            <v>鋁鋼龍</v>
          </cell>
          <cell r="Z48" t="str">
            <v>鋼</v>
          </cell>
          <cell r="AA48" t="str">
            <v>龍</v>
          </cell>
          <cell r="AB48">
            <v>23.225999999999999</v>
          </cell>
        </row>
        <row r="49">
          <cell r="Y49" t="str">
            <v>甜冷美后</v>
          </cell>
          <cell r="Z49" t="str">
            <v>草</v>
          </cell>
          <cell r="AA49" t="str">
            <v>無</v>
          </cell>
          <cell r="AB49">
            <v>24.9</v>
          </cell>
        </row>
        <row r="50">
          <cell r="Y50" t="str">
            <v>沙奈朵</v>
          </cell>
          <cell r="Z50" t="str">
            <v>超能力</v>
          </cell>
          <cell r="AA50" t="str">
            <v>妖精</v>
          </cell>
          <cell r="AB50">
            <v>24.07</v>
          </cell>
        </row>
        <row r="51">
          <cell r="Y51" t="str">
            <v>超級巨伊布</v>
          </cell>
          <cell r="Z51" t="str">
            <v>一般</v>
          </cell>
          <cell r="AA51" t="str">
            <v>無</v>
          </cell>
          <cell r="AB51">
            <v>12.954000000000001</v>
          </cell>
        </row>
        <row r="52">
          <cell r="Y52" t="str">
            <v>水伊布</v>
          </cell>
          <cell r="Z52" t="str">
            <v>水</v>
          </cell>
          <cell r="AA52" t="str">
            <v>無</v>
          </cell>
          <cell r="AB52">
            <v>31.97</v>
          </cell>
        </row>
        <row r="53">
          <cell r="Y53" t="str">
            <v>雷伊布</v>
          </cell>
          <cell r="Z53" t="str">
            <v>電</v>
          </cell>
          <cell r="AA53" t="str">
            <v>無</v>
          </cell>
          <cell r="AB53">
            <v>21.84</v>
          </cell>
        </row>
        <row r="54">
          <cell r="Y54" t="str">
            <v>火伊布</v>
          </cell>
          <cell r="Z54" t="str">
            <v>火</v>
          </cell>
          <cell r="AA54" t="str">
            <v>無</v>
          </cell>
          <cell r="AB54">
            <v>21.42</v>
          </cell>
        </row>
        <row r="55">
          <cell r="Y55" t="str">
            <v>太陽伊布</v>
          </cell>
          <cell r="Z55" t="str">
            <v>超能力</v>
          </cell>
          <cell r="AA55" t="str">
            <v>無</v>
          </cell>
          <cell r="AB55">
            <v>21</v>
          </cell>
        </row>
        <row r="56">
          <cell r="Y56" t="str">
            <v>月亮伊布</v>
          </cell>
          <cell r="Z56" t="str">
            <v>惡</v>
          </cell>
          <cell r="AA56" t="str">
            <v>無</v>
          </cell>
          <cell r="AB56">
            <v>36.764000000000003</v>
          </cell>
        </row>
        <row r="57">
          <cell r="Y57" t="str">
            <v>葉伊布</v>
          </cell>
          <cell r="Z57" t="str">
            <v>草</v>
          </cell>
          <cell r="AA57" t="str">
            <v>無</v>
          </cell>
          <cell r="AB57">
            <v>25.9</v>
          </cell>
        </row>
        <row r="58">
          <cell r="Y58" t="str">
            <v>冰伊布</v>
          </cell>
          <cell r="Z58" t="str">
            <v>冰</v>
          </cell>
          <cell r="AA58" t="str">
            <v>無</v>
          </cell>
          <cell r="AB58">
            <v>24.36</v>
          </cell>
        </row>
        <row r="59">
          <cell r="Y59" t="str">
            <v>仙子伊布</v>
          </cell>
          <cell r="Z59" t="str">
            <v>妖精</v>
          </cell>
          <cell r="AA59" t="str">
            <v>無</v>
          </cell>
          <cell r="AB59">
            <v>31.486000000000001</v>
          </cell>
        </row>
        <row r="60">
          <cell r="Y60" t="str">
            <v>艾路雷朵</v>
          </cell>
          <cell r="Z60" t="str">
            <v>超能力</v>
          </cell>
          <cell r="AA60" t="str">
            <v>格鬥</v>
          </cell>
          <cell r="AB60">
            <v>24.07</v>
          </cell>
        </row>
        <row r="61">
          <cell r="Y61" t="str">
            <v>烏賊王</v>
          </cell>
          <cell r="Z61" t="str">
            <v>惡</v>
          </cell>
          <cell r="AA61" t="str">
            <v>超能力</v>
          </cell>
          <cell r="AB61">
            <v>23.998000000000001</v>
          </cell>
        </row>
        <row r="62">
          <cell r="Y62" t="str">
            <v>心蝙蝠</v>
          </cell>
          <cell r="Z62" t="str">
            <v>超能力</v>
          </cell>
          <cell r="AA62" t="str">
            <v>飛行</v>
          </cell>
          <cell r="AB62">
            <v>15.157999999999999</v>
          </cell>
        </row>
        <row r="63">
          <cell r="Y63" t="str">
            <v>超極巨灰塵山</v>
          </cell>
          <cell r="Z63" t="str">
            <v>毒</v>
          </cell>
          <cell r="AA63" t="str">
            <v>無</v>
          </cell>
          <cell r="AB63">
            <v>22.4</v>
          </cell>
        </row>
        <row r="64">
          <cell r="Y64" t="str">
            <v>洛奇亞</v>
          </cell>
          <cell r="Z64" t="str">
            <v>超能力</v>
          </cell>
          <cell r="AA64" t="str">
            <v>飛行</v>
          </cell>
          <cell r="AB64">
            <v>50.628999999999998</v>
          </cell>
        </row>
        <row r="65">
          <cell r="Y65" t="str">
            <v>飛腿郎</v>
          </cell>
          <cell r="Z65" t="str">
            <v>格鬥</v>
          </cell>
          <cell r="AA65" t="str">
            <v>無</v>
          </cell>
          <cell r="AB65">
            <v>18.600000000000001</v>
          </cell>
        </row>
        <row r="66">
          <cell r="Y66" t="str">
            <v>快拳郎</v>
          </cell>
          <cell r="Z66" t="str">
            <v>格鬥</v>
          </cell>
          <cell r="AA66" t="str">
            <v>無</v>
          </cell>
          <cell r="AB66">
            <v>20.16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50"/>
  <sheetViews>
    <sheetView tabSelected="1" workbookViewId="0">
      <selection activeCell="A2" sqref="A2"/>
    </sheetView>
  </sheetViews>
  <sheetFormatPr defaultRowHeight="15" x14ac:dyDescent="0.3"/>
  <cols>
    <col min="1" max="1" width="15.5" bestFit="1" customWidth="1"/>
    <col min="2" max="3" width="9" style="13"/>
    <col min="4" max="4" width="12.75" style="17" bestFit="1" customWidth="1"/>
  </cols>
  <sheetData>
    <row r="1" spans="1:25" x14ac:dyDescent="0.3">
      <c r="A1" s="13" t="str">
        <f>[1]攻守數據!Y2</f>
        <v>寶可夢</v>
      </c>
      <c r="B1" s="13" t="str">
        <f>[1]攻守數據!Z2</f>
        <v>屬性一</v>
      </c>
      <c r="C1" s="13" t="str">
        <f>[1]攻守數據!AA2</f>
        <v>屬性二</v>
      </c>
      <c r="D1" s="13" t="str">
        <f>[1]攻守數據!AB2</f>
        <v>基礎防禦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2" t="s">
        <v>18</v>
      </c>
      <c r="Y1" s="1" t="s">
        <v>19</v>
      </c>
    </row>
    <row r="2" spans="1:25" ht="16.2" x14ac:dyDescent="0.3">
      <c r="A2" s="13" t="str">
        <f>[1]攻守數據!Y3</f>
        <v>幸福蛋</v>
      </c>
      <c r="B2" s="13" t="str">
        <f>[1]攻守數據!Z3</f>
        <v>一般</v>
      </c>
      <c r="C2" s="13" t="str">
        <f>[1]攻守數據!AA3</f>
        <v>無</v>
      </c>
      <c r="D2" s="14">
        <f>[1]攻守數據!AB3</f>
        <v>61.686</v>
      </c>
      <c r="F2" s="1" t="s">
        <v>1</v>
      </c>
      <c r="G2" s="1"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1">
        <v>1</v>
      </c>
      <c r="N2" s="1">
        <v>1</v>
      </c>
      <c r="O2" s="1">
        <v>1</v>
      </c>
      <c r="P2" s="1">
        <v>1</v>
      </c>
      <c r="Q2" s="3">
        <v>0.625</v>
      </c>
      <c r="R2" s="1">
        <v>1</v>
      </c>
      <c r="S2" s="1">
        <v>1</v>
      </c>
      <c r="T2" s="1">
        <v>1</v>
      </c>
      <c r="U2" s="4">
        <v>0.39100000000000001</v>
      </c>
      <c r="V2" s="1">
        <v>1</v>
      </c>
      <c r="W2" s="3">
        <v>0.625</v>
      </c>
      <c r="X2" s="2">
        <v>1</v>
      </c>
      <c r="Y2" s="1">
        <v>1</v>
      </c>
    </row>
    <row r="3" spans="1:25" x14ac:dyDescent="0.3">
      <c r="A3" s="13" t="str">
        <f>[1]攻守數據!Y4</f>
        <v>藏瑪然特</v>
      </c>
      <c r="B3" s="13" t="str">
        <f>[1]攻守數據!Z4</f>
        <v>鋼</v>
      </c>
      <c r="C3" s="13" t="str">
        <f>[1]攻守數據!AA4</f>
        <v>格鬥</v>
      </c>
      <c r="D3" s="14">
        <f>[1]攻守數據!AB4</f>
        <v>43.07</v>
      </c>
      <c r="F3" s="1" t="s">
        <v>2</v>
      </c>
      <c r="G3" s="1">
        <v>1</v>
      </c>
      <c r="H3" s="3">
        <v>0.625</v>
      </c>
      <c r="I3" s="1">
        <v>1</v>
      </c>
      <c r="J3" s="3">
        <v>0.625</v>
      </c>
      <c r="K3" s="1">
        <v>1</v>
      </c>
      <c r="L3" s="5">
        <v>1.6</v>
      </c>
      <c r="M3" s="1">
        <v>1</v>
      </c>
      <c r="N3" s="1">
        <v>1</v>
      </c>
      <c r="O3" s="1">
        <v>1</v>
      </c>
      <c r="P3" s="1">
        <v>1</v>
      </c>
      <c r="Q3" s="3">
        <v>0.625</v>
      </c>
      <c r="R3" s="5">
        <v>1.6</v>
      </c>
      <c r="S3" s="5">
        <v>1.6</v>
      </c>
      <c r="T3" s="3">
        <v>0.625</v>
      </c>
      <c r="U3" s="1">
        <v>1</v>
      </c>
      <c r="V3" s="1">
        <v>1</v>
      </c>
      <c r="W3" s="5">
        <v>1.6</v>
      </c>
      <c r="X3" s="2">
        <v>1</v>
      </c>
      <c r="Y3" s="1">
        <v>1</v>
      </c>
    </row>
    <row r="4" spans="1:25" ht="16.2" x14ac:dyDescent="0.3">
      <c r="A4" s="13" t="str">
        <f>[1]攻守數據!Y5</f>
        <v>卡比獸</v>
      </c>
      <c r="B4" s="13" t="str">
        <f>[1]攻守數據!Z5</f>
        <v>一般</v>
      </c>
      <c r="C4" s="13" t="str">
        <f>[1]攻守數據!AA5</f>
        <v>無</v>
      </c>
      <c r="D4" s="14">
        <f>[1]攻守數據!AB5</f>
        <v>33.768000000000001</v>
      </c>
      <c r="F4" s="1" t="s">
        <v>3</v>
      </c>
      <c r="G4" s="5">
        <v>1.6</v>
      </c>
      <c r="H4" s="1">
        <v>1</v>
      </c>
      <c r="I4" s="1">
        <v>1</v>
      </c>
      <c r="J4" s="1">
        <v>1</v>
      </c>
      <c r="K4" s="3">
        <v>0.625</v>
      </c>
      <c r="L4" s="1">
        <v>1</v>
      </c>
      <c r="M4" s="3">
        <v>0.625</v>
      </c>
      <c r="N4" s="1">
        <v>1</v>
      </c>
      <c r="O4" s="1">
        <v>1</v>
      </c>
      <c r="P4" s="3">
        <v>0.625</v>
      </c>
      <c r="Q4" s="5">
        <v>1.6</v>
      </c>
      <c r="R4" s="5">
        <v>1.6</v>
      </c>
      <c r="S4" s="3">
        <v>0.625</v>
      </c>
      <c r="T4" s="1">
        <v>1</v>
      </c>
      <c r="U4" s="4">
        <v>0.39100000000000001</v>
      </c>
      <c r="V4" s="5">
        <v>1.6</v>
      </c>
      <c r="W4" s="5">
        <v>1.6</v>
      </c>
      <c r="X4" s="6">
        <v>0.625</v>
      </c>
      <c r="Y4" s="1">
        <v>1</v>
      </c>
    </row>
    <row r="5" spans="1:25" x14ac:dyDescent="0.3">
      <c r="A5" s="13" t="str">
        <f>[1]攻守數據!Y6</f>
        <v>水君</v>
      </c>
      <c r="B5" s="13" t="str">
        <f>[1]攻守數據!Z6</f>
        <v>水</v>
      </c>
      <c r="C5" s="13" t="str">
        <f>[1]攻守數據!AA6</f>
        <v>無</v>
      </c>
      <c r="D5" s="14">
        <f>[1]攻守數據!AB6</f>
        <v>34.58</v>
      </c>
      <c r="F5" s="1" t="s">
        <v>4</v>
      </c>
      <c r="G5" s="1">
        <v>1</v>
      </c>
      <c r="H5" s="5">
        <v>1.6</v>
      </c>
      <c r="I5" s="1">
        <v>1</v>
      </c>
      <c r="J5" s="3">
        <v>0.625</v>
      </c>
      <c r="K5" s="1">
        <v>1</v>
      </c>
      <c r="L5" s="3">
        <v>0.625</v>
      </c>
      <c r="M5" s="1">
        <v>1</v>
      </c>
      <c r="N5" s="1">
        <v>1</v>
      </c>
      <c r="O5" s="5">
        <v>1.6</v>
      </c>
      <c r="P5" s="1">
        <v>1</v>
      </c>
      <c r="Q5" s="5">
        <v>1.6</v>
      </c>
      <c r="R5" s="1">
        <v>1</v>
      </c>
      <c r="S5" s="1">
        <v>1</v>
      </c>
      <c r="T5" s="3">
        <v>0.625</v>
      </c>
      <c r="U5" s="1">
        <v>1</v>
      </c>
      <c r="V5" s="1">
        <v>1</v>
      </c>
      <c r="W5" s="1">
        <v>1</v>
      </c>
      <c r="X5" s="2">
        <v>1</v>
      </c>
      <c r="Y5" s="1">
        <v>1</v>
      </c>
    </row>
    <row r="6" spans="1:25" x14ac:dyDescent="0.3">
      <c r="A6" s="13" t="str">
        <f>[1]攻守數據!Y7</f>
        <v>無極汰那</v>
      </c>
      <c r="B6" s="13" t="str">
        <f>[1]攻守數據!Z7</f>
        <v>龍</v>
      </c>
      <c r="C6" s="13" t="str">
        <f>[1]攻守數據!AA7</f>
        <v>毒</v>
      </c>
      <c r="D6" s="14">
        <f>[1]攻守數據!AB7</f>
        <v>35.802</v>
      </c>
      <c r="F6" s="1" t="s">
        <v>5</v>
      </c>
      <c r="G6" s="1">
        <v>1</v>
      </c>
      <c r="H6" s="1">
        <v>1</v>
      </c>
      <c r="I6" s="5">
        <v>1.6</v>
      </c>
      <c r="J6" s="1">
        <v>1</v>
      </c>
      <c r="K6" s="1">
        <v>1</v>
      </c>
      <c r="L6" s="5">
        <v>1.6</v>
      </c>
      <c r="M6" s="1">
        <v>1</v>
      </c>
      <c r="N6" s="3">
        <v>0.625</v>
      </c>
      <c r="O6" s="1">
        <v>1</v>
      </c>
      <c r="P6" s="1">
        <v>1</v>
      </c>
      <c r="Q6" s="3">
        <v>0.625</v>
      </c>
      <c r="R6" s="1">
        <v>1</v>
      </c>
      <c r="S6" s="5">
        <v>1.6</v>
      </c>
      <c r="T6" s="1">
        <v>1</v>
      </c>
      <c r="U6" s="1">
        <v>1</v>
      </c>
      <c r="V6" s="1">
        <v>1</v>
      </c>
      <c r="W6" s="3">
        <v>0.625</v>
      </c>
      <c r="X6" s="2">
        <v>1</v>
      </c>
      <c r="Y6" s="1">
        <v>1</v>
      </c>
    </row>
    <row r="7" spans="1:25" x14ac:dyDescent="0.3">
      <c r="A7" s="13" t="str">
        <f>[1]攻守數據!Y8</f>
        <v>急凍鳥</v>
      </c>
      <c r="B7" s="13" t="str">
        <f>[1]攻守數據!Z8</f>
        <v>冰</v>
      </c>
      <c r="C7" s="13" t="str">
        <f>[1]攻守數據!AA8</f>
        <v>飛行</v>
      </c>
      <c r="D7" s="14">
        <f>[1]攻守數據!AB8</f>
        <v>30.504000000000001</v>
      </c>
      <c r="F7" s="1" t="s">
        <v>6</v>
      </c>
      <c r="G7" s="1">
        <v>1</v>
      </c>
      <c r="H7" s="3">
        <v>0.625</v>
      </c>
      <c r="I7" s="1">
        <v>1</v>
      </c>
      <c r="J7" s="5">
        <v>1.6</v>
      </c>
      <c r="K7" s="3">
        <v>0.625</v>
      </c>
      <c r="L7" s="3">
        <v>0.625</v>
      </c>
      <c r="M7" s="3">
        <v>0.625</v>
      </c>
      <c r="N7" s="1">
        <v>1</v>
      </c>
      <c r="O7" s="5">
        <v>1.6</v>
      </c>
      <c r="P7" s="1">
        <v>1</v>
      </c>
      <c r="Q7" s="5">
        <v>1.6</v>
      </c>
      <c r="R7" s="1">
        <v>1</v>
      </c>
      <c r="S7" s="3">
        <v>0.625</v>
      </c>
      <c r="T7" s="3">
        <v>0.625</v>
      </c>
      <c r="U7" s="1">
        <v>1</v>
      </c>
      <c r="V7" s="1">
        <v>1</v>
      </c>
      <c r="W7" s="3">
        <v>0.625</v>
      </c>
      <c r="X7" s="2">
        <v>1</v>
      </c>
      <c r="Y7" s="1">
        <v>1</v>
      </c>
    </row>
    <row r="8" spans="1:25" ht="16.2" x14ac:dyDescent="0.3">
      <c r="A8" s="13" t="str">
        <f>[1]攻守數據!Y9</f>
        <v>拉普拉斯</v>
      </c>
      <c r="B8" s="13" t="str">
        <f>[1]攻守數據!Z9</f>
        <v>水</v>
      </c>
      <c r="C8" s="13" t="str">
        <f>[1]攻守數據!AA9</f>
        <v>冰</v>
      </c>
      <c r="D8" s="14">
        <f>[1]攻守數據!AB9</f>
        <v>33.81</v>
      </c>
      <c r="F8" s="1" t="s">
        <v>7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5">
        <v>1.6</v>
      </c>
      <c r="M8" s="3">
        <v>0.625</v>
      </c>
      <c r="N8" s="1">
        <v>1</v>
      </c>
      <c r="O8" s="3">
        <v>0.625</v>
      </c>
      <c r="P8" s="1">
        <v>1</v>
      </c>
      <c r="Q8" s="3">
        <v>0.625</v>
      </c>
      <c r="R8" s="1">
        <v>1</v>
      </c>
      <c r="S8" s="1">
        <v>1</v>
      </c>
      <c r="T8" s="1">
        <v>1</v>
      </c>
      <c r="U8" s="3">
        <v>0.625</v>
      </c>
      <c r="V8" s="1">
        <v>1</v>
      </c>
      <c r="W8" s="4">
        <v>0.39100000000000001</v>
      </c>
      <c r="X8" s="7">
        <v>1.6</v>
      </c>
      <c r="Y8" s="1">
        <v>1</v>
      </c>
    </row>
    <row r="9" spans="1:25" ht="16.2" x14ac:dyDescent="0.3">
      <c r="A9" s="13" t="str">
        <f>[1]攻守數據!Y10</f>
        <v>拉帝亞斯</v>
      </c>
      <c r="B9" s="13" t="str">
        <f>[1]攻守數據!Z10</f>
        <v>龍</v>
      </c>
      <c r="C9" s="13" t="str">
        <f>[1]攻守數據!AA10</f>
        <v>超能力</v>
      </c>
      <c r="D9" s="14">
        <f>[1]攻守數據!AB10</f>
        <v>22.308</v>
      </c>
      <c r="F9" s="1" t="s">
        <v>8</v>
      </c>
      <c r="G9" s="1">
        <v>1</v>
      </c>
      <c r="H9" s="1">
        <v>1</v>
      </c>
      <c r="I9" s="1">
        <v>1</v>
      </c>
      <c r="J9" s="5">
        <v>1.6</v>
      </c>
      <c r="K9" s="5">
        <v>1.6</v>
      </c>
      <c r="L9" s="3">
        <v>0.625</v>
      </c>
      <c r="M9" s="1">
        <v>1</v>
      </c>
      <c r="N9" s="3">
        <v>0.625</v>
      </c>
      <c r="O9" s="4">
        <v>0.39100000000000001</v>
      </c>
      <c r="P9" s="1">
        <v>1</v>
      </c>
      <c r="Q9" s="1">
        <v>1</v>
      </c>
      <c r="R9" s="1">
        <v>1</v>
      </c>
      <c r="S9" s="1">
        <v>1</v>
      </c>
      <c r="T9" s="3">
        <v>0.625</v>
      </c>
      <c r="U9" s="1">
        <v>1</v>
      </c>
      <c r="V9" s="1">
        <v>1</v>
      </c>
      <c r="W9" s="1">
        <v>1</v>
      </c>
      <c r="X9" s="2">
        <v>1</v>
      </c>
      <c r="Y9" s="1">
        <v>1</v>
      </c>
    </row>
    <row r="10" spans="1:25" ht="16.2" x14ac:dyDescent="0.3">
      <c r="A10" s="13" t="str">
        <f>[1]攻守數據!Y11</f>
        <v>蒼響</v>
      </c>
      <c r="B10" s="13" t="str">
        <f>[1]攻守數據!Z11</f>
        <v>鋼</v>
      </c>
      <c r="C10" s="13" t="str">
        <f>[1]攻守數據!AA11</f>
        <v>妖精</v>
      </c>
      <c r="D10" s="14">
        <f>[1]攻守數據!AB11</f>
        <v>36.848999999999997</v>
      </c>
      <c r="F10" s="1" t="s">
        <v>9</v>
      </c>
      <c r="G10" s="1">
        <v>1</v>
      </c>
      <c r="H10" s="5">
        <v>1.6</v>
      </c>
      <c r="I10" s="1">
        <v>1</v>
      </c>
      <c r="J10" s="1">
        <v>1</v>
      </c>
      <c r="K10" s="4">
        <v>0.39100000000000001</v>
      </c>
      <c r="L10" s="3">
        <v>0.625</v>
      </c>
      <c r="M10" s="5">
        <v>1.6</v>
      </c>
      <c r="N10" s="5">
        <v>1.6</v>
      </c>
      <c r="O10" s="1">
        <v>1</v>
      </c>
      <c r="P10" s="1">
        <v>1</v>
      </c>
      <c r="Q10" s="5">
        <v>1.6</v>
      </c>
      <c r="R10" s="1">
        <v>1</v>
      </c>
      <c r="S10" s="3">
        <v>0.625</v>
      </c>
      <c r="T10" s="1">
        <v>1</v>
      </c>
      <c r="U10" s="1">
        <v>1</v>
      </c>
      <c r="V10" s="1">
        <v>1</v>
      </c>
      <c r="W10" s="5">
        <v>1.6</v>
      </c>
      <c r="X10" s="2">
        <v>1</v>
      </c>
      <c r="Y10" s="1">
        <v>1</v>
      </c>
    </row>
    <row r="11" spans="1:25" ht="16.2" x14ac:dyDescent="0.3">
      <c r="A11" s="13" t="str">
        <f>[1]攻守數據!Y12</f>
        <v>拉帝歐斯</v>
      </c>
      <c r="B11" s="13" t="str">
        <f>[1]攻守數據!Z12</f>
        <v>龍</v>
      </c>
      <c r="C11" s="13" t="str">
        <f>[1]攻守數據!AA12</f>
        <v>超能力</v>
      </c>
      <c r="D11" s="14">
        <f>[1]攻守數據!AB12</f>
        <v>27.808</v>
      </c>
      <c r="F11" s="1" t="s">
        <v>10</v>
      </c>
      <c r="G11" s="1">
        <v>1</v>
      </c>
      <c r="H11" s="1">
        <v>1</v>
      </c>
      <c r="I11" s="5">
        <v>1.6</v>
      </c>
      <c r="J11" s="1">
        <v>1</v>
      </c>
      <c r="K11" s="1">
        <v>1</v>
      </c>
      <c r="L11" s="1">
        <v>1</v>
      </c>
      <c r="M11" s="5">
        <v>1.6</v>
      </c>
      <c r="N11" s="1">
        <v>1</v>
      </c>
      <c r="O11" s="1">
        <v>1</v>
      </c>
      <c r="P11" s="3">
        <v>0.625</v>
      </c>
      <c r="Q11" s="1">
        <v>1</v>
      </c>
      <c r="R11" s="1">
        <v>1</v>
      </c>
      <c r="S11" s="1">
        <v>1</v>
      </c>
      <c r="T11" s="1">
        <v>1</v>
      </c>
      <c r="U11" s="1">
        <v>1</v>
      </c>
      <c r="V11" s="4">
        <v>0.39100000000000001</v>
      </c>
      <c r="W11" s="3">
        <v>0.625</v>
      </c>
      <c r="X11" s="2">
        <v>1</v>
      </c>
      <c r="Y11" s="1">
        <v>1</v>
      </c>
    </row>
    <row r="12" spans="1:25" x14ac:dyDescent="0.3">
      <c r="A12" s="13" t="str">
        <f>[1]攻守數據!Y13</f>
        <v>巨金怪</v>
      </c>
      <c r="B12" s="13" t="str">
        <f>[1]攻守數據!Z13</f>
        <v>鋼</v>
      </c>
      <c r="C12" s="13" t="str">
        <f>[1]攻守數據!AA13</f>
        <v>超能力</v>
      </c>
      <c r="D12" s="14">
        <f>[1]攻守數據!AB13</f>
        <v>30.428999999999998</v>
      </c>
      <c r="F12" s="1" t="s">
        <v>11</v>
      </c>
      <c r="G12" s="1">
        <v>1</v>
      </c>
      <c r="H12" s="5">
        <v>1.6</v>
      </c>
      <c r="I12" s="3">
        <v>0.625</v>
      </c>
      <c r="J12" s="1">
        <v>1</v>
      </c>
      <c r="K12" s="5">
        <v>1.6</v>
      </c>
      <c r="L12" s="1">
        <v>1</v>
      </c>
      <c r="M12" s="1">
        <v>1</v>
      </c>
      <c r="N12" s="1">
        <v>1</v>
      </c>
      <c r="O12" s="3">
        <v>0.625</v>
      </c>
      <c r="P12" s="1">
        <v>1</v>
      </c>
      <c r="Q12" s="1">
        <v>1</v>
      </c>
      <c r="R12" s="5">
        <v>1.6</v>
      </c>
      <c r="S12" s="5">
        <v>1.6</v>
      </c>
      <c r="T12" s="1">
        <v>1</v>
      </c>
      <c r="U12" s="1">
        <v>1</v>
      </c>
      <c r="V12" s="1">
        <v>1</v>
      </c>
      <c r="W12" s="3">
        <v>0.625</v>
      </c>
      <c r="X12" s="2">
        <v>1</v>
      </c>
      <c r="Y12" s="1">
        <v>1</v>
      </c>
    </row>
    <row r="13" spans="1:25" x14ac:dyDescent="0.3">
      <c r="A13" s="13" t="str">
        <f>[1]攻守數據!Y14</f>
        <v>炎帝</v>
      </c>
      <c r="B13" s="13" t="str">
        <f>[1]攻守數據!Z14</f>
        <v>火</v>
      </c>
      <c r="C13" s="13" t="str">
        <f>[1]攻守數據!AA14</f>
        <v>無</v>
      </c>
      <c r="D13" s="14">
        <f>[1]攻守數據!AB14</f>
        <v>23.552</v>
      </c>
      <c r="F13" s="1" t="s">
        <v>12</v>
      </c>
      <c r="G13" s="1">
        <v>1</v>
      </c>
      <c r="H13" s="3">
        <v>0.625</v>
      </c>
      <c r="I13" s="1">
        <v>1</v>
      </c>
      <c r="J13" s="3">
        <v>0.625</v>
      </c>
      <c r="K13" s="5">
        <v>1.6</v>
      </c>
      <c r="L13" s="5">
        <v>1.6</v>
      </c>
      <c r="M13" s="1">
        <v>1</v>
      </c>
      <c r="N13" s="1">
        <v>1</v>
      </c>
      <c r="O13" s="5">
        <v>1.6</v>
      </c>
      <c r="P13" s="1">
        <v>1</v>
      </c>
      <c r="Q13" s="1">
        <v>1</v>
      </c>
      <c r="R13" s="3">
        <v>0.625</v>
      </c>
      <c r="S13" s="1">
        <v>1</v>
      </c>
      <c r="T13" s="5">
        <v>1.6</v>
      </c>
      <c r="U13" s="1">
        <v>1</v>
      </c>
      <c r="V13" s="1">
        <v>1</v>
      </c>
      <c r="W13" s="3">
        <v>0.625</v>
      </c>
      <c r="X13" s="2">
        <v>1</v>
      </c>
      <c r="Y13" s="1">
        <v>1</v>
      </c>
    </row>
    <row r="14" spans="1:25" x14ac:dyDescent="0.3">
      <c r="A14" s="13" t="str">
        <f>[1]攻守數據!Y15</f>
        <v>鋼鎧鴉</v>
      </c>
      <c r="B14" s="13" t="str">
        <f>[1]攻守數據!Z15</f>
        <v>鋼</v>
      </c>
      <c r="C14" s="13" t="str">
        <f>[1]攻守數據!AA15</f>
        <v>飛行</v>
      </c>
      <c r="D14" s="14">
        <f>[1]攻守數據!AB15</f>
        <v>31.35</v>
      </c>
      <c r="F14" s="1" t="s">
        <v>13</v>
      </c>
      <c r="G14" s="1">
        <v>1</v>
      </c>
      <c r="H14" s="3">
        <v>0.625</v>
      </c>
      <c r="I14" s="3">
        <v>0.625</v>
      </c>
      <c r="J14" s="1">
        <v>1</v>
      </c>
      <c r="K14" s="3">
        <v>0.625</v>
      </c>
      <c r="L14" s="5">
        <v>1.6</v>
      </c>
      <c r="M14" s="3">
        <v>0.625</v>
      </c>
      <c r="N14" s="1">
        <v>1</v>
      </c>
      <c r="O14" s="1">
        <v>1</v>
      </c>
      <c r="P14" s="5">
        <v>1.6</v>
      </c>
      <c r="Q14" s="1">
        <v>1</v>
      </c>
      <c r="R14" s="1">
        <v>1</v>
      </c>
      <c r="S14" s="1">
        <v>1</v>
      </c>
      <c r="T14" s="1">
        <v>1</v>
      </c>
      <c r="U14" s="3">
        <v>0.625</v>
      </c>
      <c r="V14" s="5">
        <v>1.6</v>
      </c>
      <c r="W14" s="3">
        <v>0.625</v>
      </c>
      <c r="X14" s="6">
        <v>0.625</v>
      </c>
      <c r="Y14" s="1">
        <v>1</v>
      </c>
    </row>
    <row r="15" spans="1:25" ht="16.2" x14ac:dyDescent="0.3">
      <c r="A15" s="13" t="str">
        <f>[1]攻守數據!Y16</f>
        <v>幾何雪花</v>
      </c>
      <c r="B15" s="13" t="str">
        <f>[1]攻守數據!Z16</f>
        <v>冰</v>
      </c>
      <c r="C15" s="13" t="str">
        <f>[1]攻守數據!AA16</f>
        <v>無</v>
      </c>
      <c r="D15" s="14">
        <f>[1]攻守數據!AB16</f>
        <v>26.295999999999999</v>
      </c>
      <c r="F15" s="1" t="s">
        <v>14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O15" s="1">
        <v>1</v>
      </c>
      <c r="P15" s="1">
        <v>1</v>
      </c>
      <c r="Q15" s="1">
        <v>1</v>
      </c>
      <c r="R15" s="1">
        <v>1</v>
      </c>
      <c r="S15" s="1">
        <v>1</v>
      </c>
      <c r="T15" s="5">
        <v>1.6</v>
      </c>
      <c r="U15" s="1">
        <v>1</v>
      </c>
      <c r="V15" s="1">
        <v>1</v>
      </c>
      <c r="W15" s="3">
        <v>0.625</v>
      </c>
      <c r="X15" s="8">
        <v>0.39100000000000001</v>
      </c>
      <c r="Y15" s="1">
        <v>1</v>
      </c>
    </row>
    <row r="16" spans="1:25" ht="16.2" x14ac:dyDescent="0.3">
      <c r="A16" s="13" t="str">
        <f>[1]攻守數據!Y17</f>
        <v>藏飽栗鼠</v>
      </c>
      <c r="B16" s="13" t="str">
        <f>[1]攻守數據!Z17</f>
        <v>一般</v>
      </c>
      <c r="C16" s="13" t="str">
        <f>[1]攻守數據!AA17</f>
        <v>無</v>
      </c>
      <c r="D16" s="14">
        <f>[1]攻守數據!AB17</f>
        <v>29.295000000000002</v>
      </c>
      <c r="F16" s="1" t="s">
        <v>15</v>
      </c>
      <c r="G16" s="4">
        <v>0.39100000000000001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1</v>
      </c>
      <c r="N16" s="1">
        <v>1</v>
      </c>
      <c r="O16" s="1">
        <v>1</v>
      </c>
      <c r="P16" s="5">
        <v>1.6</v>
      </c>
      <c r="Q16" s="1">
        <v>1</v>
      </c>
      <c r="R16" s="1">
        <v>1</v>
      </c>
      <c r="S16" s="1">
        <v>1</v>
      </c>
      <c r="T16" s="1">
        <v>1</v>
      </c>
      <c r="U16" s="5">
        <v>1.6</v>
      </c>
      <c r="V16" s="3">
        <v>0.625</v>
      </c>
      <c r="W16" s="1">
        <v>1</v>
      </c>
      <c r="X16" s="2">
        <v>1</v>
      </c>
      <c r="Y16" s="1">
        <v>1</v>
      </c>
    </row>
    <row r="17" spans="1:25" x14ac:dyDescent="0.3">
      <c r="A17" s="13" t="str">
        <f>[1]攻守數據!Y18</f>
        <v>雷公</v>
      </c>
      <c r="B17" s="13" t="str">
        <f>[1]攻守數據!Z18</f>
        <v>電</v>
      </c>
      <c r="C17" s="13" t="str">
        <f>[1]攻守數據!AA18</f>
        <v>無</v>
      </c>
      <c r="D17" s="14">
        <f>[1]攻守數據!AB18</f>
        <v>27.37</v>
      </c>
      <c r="F17" s="1" t="s">
        <v>16</v>
      </c>
      <c r="G17" s="1">
        <v>1</v>
      </c>
      <c r="H17" s="1">
        <v>1</v>
      </c>
      <c r="I17" s="3">
        <v>0.625</v>
      </c>
      <c r="J17" s="1">
        <v>1</v>
      </c>
      <c r="K17" s="1">
        <v>1</v>
      </c>
      <c r="L17" s="1">
        <v>1</v>
      </c>
      <c r="M17" s="1">
        <v>1</v>
      </c>
      <c r="N17" s="1">
        <v>1</v>
      </c>
      <c r="O17" s="1">
        <v>1</v>
      </c>
      <c r="P17" s="5">
        <v>1.6</v>
      </c>
      <c r="Q17" s="1">
        <v>1</v>
      </c>
      <c r="R17" s="1">
        <v>1</v>
      </c>
      <c r="S17" s="1">
        <v>1</v>
      </c>
      <c r="T17" s="1">
        <v>1</v>
      </c>
      <c r="U17" s="5">
        <v>1.6</v>
      </c>
      <c r="V17" s="3">
        <v>0.625</v>
      </c>
      <c r="W17" s="1">
        <v>1</v>
      </c>
      <c r="X17" s="6">
        <v>0.625</v>
      </c>
      <c r="Y17" s="1">
        <v>1</v>
      </c>
    </row>
    <row r="18" spans="1:25" x14ac:dyDescent="0.3">
      <c r="A18" s="13" t="str">
        <f>[1]攻守數據!Y19</f>
        <v>武道熊師(連)</v>
      </c>
      <c r="B18" s="13" t="str">
        <f>[1]攻守數據!Z19</f>
        <v>格鬥</v>
      </c>
      <c r="C18" s="13" t="str">
        <f>[1]攻守數據!AA19</f>
        <v>水</v>
      </c>
      <c r="D18" s="14">
        <f>[1]攻守數據!AB19</f>
        <v>28.2</v>
      </c>
      <c r="F18" s="1" t="s">
        <v>17</v>
      </c>
      <c r="G18" s="1">
        <v>1</v>
      </c>
      <c r="H18" s="3">
        <v>0.625</v>
      </c>
      <c r="I18" s="1">
        <v>1</v>
      </c>
      <c r="J18" s="3">
        <v>0.625</v>
      </c>
      <c r="K18" s="1">
        <v>1</v>
      </c>
      <c r="L18" s="1">
        <v>1</v>
      </c>
      <c r="M18" s="1">
        <v>1</v>
      </c>
      <c r="N18" s="3">
        <v>0.625</v>
      </c>
      <c r="O18" s="1">
        <v>1</v>
      </c>
      <c r="P18" s="1">
        <v>1</v>
      </c>
      <c r="Q18" s="5">
        <v>1.6</v>
      </c>
      <c r="R18" s="5">
        <v>1.6</v>
      </c>
      <c r="S18" s="1">
        <v>1</v>
      </c>
      <c r="T18" s="1">
        <v>1</v>
      </c>
      <c r="U18" s="1">
        <v>1</v>
      </c>
      <c r="V18" s="1">
        <v>1</v>
      </c>
      <c r="W18" s="3">
        <v>0.625</v>
      </c>
      <c r="X18" s="7">
        <v>1.6</v>
      </c>
      <c r="Y18" s="1">
        <v>1</v>
      </c>
    </row>
    <row r="19" spans="1:25" x14ac:dyDescent="0.3">
      <c r="A19" s="13" t="str">
        <f>[1]攻守數據!Y20</f>
        <v>武道熊師(一)</v>
      </c>
      <c r="B19" s="13" t="str">
        <f>[1]攻守數據!Z20</f>
        <v>格鬥</v>
      </c>
      <c r="C19" s="13" t="str">
        <f>[1]攻守數據!AA20</f>
        <v>惡</v>
      </c>
      <c r="D19" s="14">
        <f>[1]攻守數據!AB20</f>
        <v>28.2</v>
      </c>
      <c r="F19" s="9" t="s">
        <v>18</v>
      </c>
      <c r="G19" s="9">
        <v>1</v>
      </c>
      <c r="H19" s="10">
        <v>0.625</v>
      </c>
      <c r="I19" s="9">
        <v>1</v>
      </c>
      <c r="J19" s="9">
        <v>1</v>
      </c>
      <c r="K19" s="9">
        <v>1</v>
      </c>
      <c r="L19" s="9">
        <v>1</v>
      </c>
      <c r="M19" s="10">
        <v>0.625</v>
      </c>
      <c r="N19" s="9">
        <v>1</v>
      </c>
      <c r="O19" s="9">
        <v>1</v>
      </c>
      <c r="P19" s="9">
        <v>1</v>
      </c>
      <c r="Q19" s="9">
        <v>1</v>
      </c>
      <c r="R19" s="9">
        <v>1</v>
      </c>
      <c r="S19" s="9">
        <v>1</v>
      </c>
      <c r="T19" s="11">
        <v>1.6</v>
      </c>
      <c r="U19" s="9">
        <v>1</v>
      </c>
      <c r="V19" s="11">
        <v>1.6</v>
      </c>
      <c r="W19" s="10">
        <v>0.625</v>
      </c>
      <c r="X19" s="12">
        <v>1</v>
      </c>
      <c r="Y19" s="1">
        <v>1</v>
      </c>
    </row>
    <row r="20" spans="1:25" x14ac:dyDescent="0.3">
      <c r="A20" s="13" t="str">
        <f>[1]攻守數據!Y21</f>
        <v>水箭龜</v>
      </c>
      <c r="B20" s="13" t="str">
        <f>[1]攻守數據!Z21</f>
        <v>水</v>
      </c>
      <c r="C20" s="13" t="str">
        <f>[1]攻守數據!AA21</f>
        <v>無</v>
      </c>
      <c r="D20" s="14">
        <f>[1]攻守數據!AB21</f>
        <v>27.824999999999999</v>
      </c>
      <c r="F20" s="1" t="s">
        <v>19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1</v>
      </c>
      <c r="N20" s="1">
        <v>1</v>
      </c>
      <c r="O20" s="1">
        <v>1</v>
      </c>
      <c r="P20" s="1">
        <v>1</v>
      </c>
      <c r="Q20" s="1">
        <v>1</v>
      </c>
      <c r="R20" s="1">
        <v>1</v>
      </c>
      <c r="S20" s="1">
        <v>1</v>
      </c>
      <c r="T20" s="1">
        <v>1</v>
      </c>
      <c r="U20" s="1">
        <v>1</v>
      </c>
      <c r="V20" s="1">
        <v>1</v>
      </c>
      <c r="W20" s="1">
        <v>1</v>
      </c>
      <c r="X20" s="1">
        <v>1</v>
      </c>
      <c r="Y20" s="1">
        <v>1</v>
      </c>
    </row>
    <row r="21" spans="1:25" x14ac:dyDescent="0.3">
      <c r="A21" s="13" t="str">
        <f>[1]攻守數據!Y22</f>
        <v>閃電鳥</v>
      </c>
      <c r="B21" s="13" t="str">
        <f>[1]攻守數據!Z22</f>
        <v>電</v>
      </c>
      <c r="C21" s="13" t="str">
        <f>[1]攻守數據!AA22</f>
        <v>飛行</v>
      </c>
      <c r="D21" s="14">
        <f>[1]攻守數據!AB22</f>
        <v>25.367999999999999</v>
      </c>
    </row>
    <row r="22" spans="1:25" x14ac:dyDescent="0.3">
      <c r="A22" s="13" t="str">
        <f>[1]攻守數據!Y23</f>
        <v>轟擂金剛猩</v>
      </c>
      <c r="B22" s="13" t="str">
        <f>[1]攻守數據!Z23</f>
        <v>草</v>
      </c>
      <c r="C22" s="13" t="str">
        <f>[1]攻守數據!AA23</f>
        <v>無</v>
      </c>
      <c r="D22" s="14">
        <f>[1]攻守數據!AB23</f>
        <v>27.027000000000001</v>
      </c>
    </row>
    <row r="23" spans="1:25" x14ac:dyDescent="0.3">
      <c r="A23" s="13" t="str">
        <f>[1]攻守數據!Y24</f>
        <v>火焰鳥</v>
      </c>
      <c r="B23" s="13" t="str">
        <f>[1]攻守數據!Z24</f>
        <v>火</v>
      </c>
      <c r="C23" s="13" t="str">
        <f>[1]攻守數據!AA24</f>
        <v>飛行</v>
      </c>
      <c r="D23" s="14">
        <f>[1]攻守數據!AB24</f>
        <v>23.797999999999998</v>
      </c>
    </row>
    <row r="24" spans="1:25" x14ac:dyDescent="0.3">
      <c r="A24" s="13" t="str">
        <f>[1]攻守數據!Y25</f>
        <v>投擲猴</v>
      </c>
      <c r="B24" s="13" t="str">
        <f>[1]攻守數據!Z25</f>
        <v>格鬥</v>
      </c>
      <c r="C24" s="13" t="str">
        <f>[1]攻守數據!AA25</f>
        <v>無</v>
      </c>
      <c r="D24" s="14">
        <f>[1]攻守數據!AB25</f>
        <v>24.103999999999999</v>
      </c>
    </row>
    <row r="25" spans="1:25" x14ac:dyDescent="0.3">
      <c r="A25" s="13" t="str">
        <f>[1]攻守數據!Y26</f>
        <v>妙蛙花</v>
      </c>
      <c r="B25" s="13" t="str">
        <f>[1]攻守數據!Z26</f>
        <v>草</v>
      </c>
      <c r="C25" s="13" t="str">
        <f>[1]攻守數據!AA26</f>
        <v>毒</v>
      </c>
      <c r="D25" s="14">
        <f>[1]攻守數據!AB26</f>
        <v>23.712</v>
      </c>
    </row>
    <row r="26" spans="1:25" x14ac:dyDescent="0.3">
      <c r="A26" s="13" t="str">
        <f>[1]攻守數據!Y27</f>
        <v>毛毛角羊</v>
      </c>
      <c r="B26" s="13" t="str">
        <f>[1]攻守數據!Z27</f>
        <v>一般</v>
      </c>
      <c r="C26" s="13" t="str">
        <f>[1]攻守數據!AA27</f>
        <v>無</v>
      </c>
      <c r="D26" s="14">
        <f>[1]攻守數據!AB27</f>
        <v>24.882999999999999</v>
      </c>
    </row>
    <row r="27" spans="1:25" x14ac:dyDescent="0.3">
      <c r="A27" s="13" t="str">
        <f>[1]攻守數據!Y28</f>
        <v>多刺菊石獸</v>
      </c>
      <c r="B27" s="13" t="str">
        <f>[1]攻守數據!Z28</f>
        <v>岩石</v>
      </c>
      <c r="C27" s="13" t="str">
        <f>[1]攻守數據!AA28</f>
        <v>水</v>
      </c>
      <c r="D27" s="14">
        <f>[1]攻守數據!AB28</f>
        <v>25.456</v>
      </c>
    </row>
    <row r="28" spans="1:25" x14ac:dyDescent="0.3">
      <c r="A28" s="13" t="str">
        <f>[1]攻守數據!Y29</f>
        <v>壺壺</v>
      </c>
      <c r="B28" s="13" t="str">
        <f>[1]攻守數據!Z29</f>
        <v>岩石</v>
      </c>
      <c r="C28" s="13" t="str">
        <f>[1]攻守數據!AA29</f>
        <v>蟲</v>
      </c>
      <c r="D28" s="14">
        <f>[1]攻守數據!AB29</f>
        <v>33.659999999999997</v>
      </c>
    </row>
    <row r="29" spans="1:25" x14ac:dyDescent="0.3">
      <c r="A29" s="13" t="str">
        <f>[1]攻守數據!Y30</f>
        <v>怪力</v>
      </c>
      <c r="B29" s="13" t="str">
        <f>[1]攻守數據!Z30</f>
        <v>格鬥</v>
      </c>
      <c r="C29" s="13" t="str">
        <f>[1]攻守數據!AA30</f>
        <v>無</v>
      </c>
      <c r="D29" s="14">
        <f>[1]攻守數據!AB30</f>
        <v>25.38</v>
      </c>
    </row>
    <row r="30" spans="1:25" x14ac:dyDescent="0.3">
      <c r="A30" s="13" t="str">
        <f>[1]攻守數據!Y31</f>
        <v>噴火龍</v>
      </c>
      <c r="B30" s="13" t="str">
        <f>[1]攻守數據!Z31</f>
        <v>火</v>
      </c>
      <c r="C30" s="13" t="str">
        <f>[1]攻守數據!AA31</f>
        <v>飛行</v>
      </c>
      <c r="D30" s="14">
        <f>[1]攻守數據!AB31</f>
        <v>22.62</v>
      </c>
    </row>
    <row r="31" spans="1:25" x14ac:dyDescent="0.3">
      <c r="A31" s="13" t="str">
        <f>[1]攻守數據!Y32</f>
        <v>龍頭地鼠</v>
      </c>
      <c r="B31" s="13" t="str">
        <f>[1]攻守數據!Z32</f>
        <v>地面</v>
      </c>
      <c r="C31" s="13" t="str">
        <f>[1]攻守數據!AA32</f>
        <v>鋼</v>
      </c>
      <c r="D31" s="14">
        <f>[1]攻守數據!AB32</f>
        <v>23.69</v>
      </c>
    </row>
    <row r="32" spans="1:25" x14ac:dyDescent="0.3">
      <c r="A32" s="13" t="str">
        <f>[1]攻守數據!Y33</f>
        <v>灰塵山</v>
      </c>
      <c r="B32" s="13" t="str">
        <f>[1]攻守數據!Z33</f>
        <v>毒</v>
      </c>
      <c r="C32" s="13" t="str">
        <f>[1]攻守數據!AA33</f>
        <v>無</v>
      </c>
      <c r="D32" s="14">
        <f>[1]攻守數據!AB33</f>
        <v>22.68</v>
      </c>
    </row>
    <row r="33" spans="1:4" x14ac:dyDescent="0.3">
      <c r="A33" s="13" t="str">
        <f>[1]攻守數據!Y34</f>
        <v>閃焰王牌</v>
      </c>
      <c r="B33" s="13" t="str">
        <f>[1]攻守數據!Z34</f>
        <v>火</v>
      </c>
      <c r="C33" s="13" t="str">
        <f>[1]攻守數據!AA34</f>
        <v>無</v>
      </c>
      <c r="D33" s="14">
        <f>[1]攻守數據!AB34</f>
        <v>24.36</v>
      </c>
    </row>
    <row r="34" spans="1:4" x14ac:dyDescent="0.3">
      <c r="A34" s="13" t="str">
        <f>[1]攻守數據!Y35</f>
        <v>吼鯨王</v>
      </c>
      <c r="B34" s="13" t="str">
        <f>[1]攻守數據!Z35</f>
        <v>水</v>
      </c>
      <c r="C34" s="13" t="str">
        <f>[1]攻守數據!AA35</f>
        <v>無</v>
      </c>
      <c r="D34" s="14">
        <f>[1]攻守數據!AB35</f>
        <v>22.88</v>
      </c>
    </row>
    <row r="35" spans="1:4" x14ac:dyDescent="0.3">
      <c r="A35" s="13" t="str">
        <f>[1]攻守數據!Y36</f>
        <v>鐮刀盔</v>
      </c>
      <c r="B35" s="13" t="str">
        <f>[1]攻守數據!Z36</f>
        <v>水</v>
      </c>
      <c r="C35" s="13" t="str">
        <f>[1]攻守數據!AA36</f>
        <v>岩石</v>
      </c>
      <c r="D35" s="14">
        <f>[1]攻守數據!AB36</f>
        <v>21.172000000000001</v>
      </c>
    </row>
    <row r="36" spans="1:4" x14ac:dyDescent="0.3">
      <c r="A36" s="13" t="str">
        <f>[1]攻守數據!Y37</f>
        <v>高傲雉雞</v>
      </c>
      <c r="B36" s="13" t="str">
        <f>[1]攻守數據!Z37</f>
        <v>一般</v>
      </c>
      <c r="C36" s="13" t="str">
        <f>[1]攻守數據!AA37</f>
        <v>飛行</v>
      </c>
      <c r="D36" s="14">
        <f>[1]攻守數據!AB37</f>
        <v>20.32</v>
      </c>
    </row>
    <row r="37" spans="1:4" x14ac:dyDescent="0.3">
      <c r="A37" s="13" t="str">
        <f>[1]攻守數據!Y38</f>
        <v>列陣兵</v>
      </c>
      <c r="B37" s="13" t="str">
        <f>[1]攻守數據!Z38</f>
        <v>格鬥</v>
      </c>
      <c r="C37" s="13" t="str">
        <f>[1]攻守數據!AA38</f>
        <v>無</v>
      </c>
      <c r="D37" s="14">
        <f>[1]攻守數據!AB38</f>
        <v>19.591000000000001</v>
      </c>
    </row>
    <row r="38" spans="1:4" x14ac:dyDescent="0.3">
      <c r="A38" s="13" t="str">
        <f>[1]攻守數據!Y39</f>
        <v>布莉姆溫</v>
      </c>
      <c r="B38" s="13" t="str">
        <f>[1]攻守數據!Z39</f>
        <v>妖精</v>
      </c>
      <c r="C38" s="13" t="str">
        <f>[1]攻守數據!AA39</f>
        <v>超能力</v>
      </c>
      <c r="D38" s="14">
        <f>[1]攻守數據!AB39</f>
        <v>19.84</v>
      </c>
    </row>
    <row r="39" spans="1:4" x14ac:dyDescent="0.3">
      <c r="A39" s="13" t="str">
        <f>[1]攻守數據!Y40</f>
        <v>狒狒達摩</v>
      </c>
      <c r="B39" s="13" t="str">
        <f>[1]攻守數據!Z40</f>
        <v>火</v>
      </c>
      <c r="C39" s="13" t="str">
        <f>[1]攻守數據!AA40</f>
        <v>無</v>
      </c>
      <c r="D39" s="14">
        <f>[1]攻守數據!AB40</f>
        <v>19.3</v>
      </c>
    </row>
    <row r="40" spans="1:4" x14ac:dyDescent="0.3">
      <c r="A40" s="13" t="str">
        <f>[1]攻守數據!Y41</f>
        <v>巨鉗蟹</v>
      </c>
      <c r="B40" s="13" t="str">
        <f>[1]攻守數據!Z41</f>
        <v>水</v>
      </c>
      <c r="C40" s="13" t="str">
        <f>[1]攻守數據!AA41</f>
        <v>無</v>
      </c>
      <c r="D40" s="14">
        <f>[1]攻守數據!AB41</f>
        <v>19.431000000000001</v>
      </c>
    </row>
    <row r="41" spans="1:4" x14ac:dyDescent="0.3">
      <c r="A41" s="13" t="str">
        <f>[1]攻守數據!Y42</f>
        <v>戰弦蠑螈</v>
      </c>
      <c r="B41" s="13" t="str">
        <f>[1]攻守數據!Z42</f>
        <v>電</v>
      </c>
      <c r="C41" s="13" t="str">
        <f>[1]攻守數據!AA42</f>
        <v>毒</v>
      </c>
      <c r="D41" s="14">
        <f>[1]攻守數據!AB42</f>
        <v>18.634</v>
      </c>
    </row>
    <row r="42" spans="1:4" x14ac:dyDescent="0.3">
      <c r="A42" s="13" t="str">
        <f>[1]攻守數據!Y43</f>
        <v>千面避役</v>
      </c>
      <c r="B42" s="13" t="str">
        <f>[1]攻守數據!Z43</f>
        <v>水</v>
      </c>
      <c r="C42" s="13" t="str">
        <f>[1]攻守數據!AA43</f>
        <v>無</v>
      </c>
      <c r="D42" s="14">
        <f>[1]攻守數據!AB43</f>
        <v>18.081</v>
      </c>
    </row>
    <row r="43" spans="1:4" x14ac:dyDescent="0.3">
      <c r="A43" s="13" t="str">
        <f>[1]攻守數據!Y44</f>
        <v>耿鬼</v>
      </c>
      <c r="B43" s="13" t="str">
        <f>[1]攻守數據!Z44</f>
        <v>幽靈</v>
      </c>
      <c r="C43" s="13" t="str">
        <f>[1]攻守數據!AA44</f>
        <v>毒</v>
      </c>
      <c r="D43" s="14">
        <f>[1]攻守數據!AB44</f>
        <v>18.224</v>
      </c>
    </row>
    <row r="44" spans="1:4" x14ac:dyDescent="0.3">
      <c r="A44" s="13" t="str">
        <f>[1]攻守數據!Y45</f>
        <v>巴大蝶</v>
      </c>
      <c r="B44" s="13" t="str">
        <f>[1]攻守數據!Z45</f>
        <v>蟲</v>
      </c>
      <c r="C44" s="13" t="str">
        <f>[1]攻守數據!AA45</f>
        <v>飛行</v>
      </c>
      <c r="D44" s="14">
        <f>[1]攻守數據!AB45</f>
        <v>15.827</v>
      </c>
    </row>
    <row r="45" spans="1:4" x14ac:dyDescent="0.3">
      <c r="A45" s="13" t="str">
        <f>[1]攻守數據!Y46</f>
        <v>勾魂眼</v>
      </c>
      <c r="B45" s="13" t="str">
        <f>[1]攻守數據!Z46</f>
        <v>幽靈</v>
      </c>
      <c r="C45" s="13" t="str">
        <f>[1]攻守數據!AA46</f>
        <v>惡</v>
      </c>
      <c r="D45" s="14">
        <f>[1]攻守數據!AB46</f>
        <v>13.688000000000001</v>
      </c>
    </row>
    <row r="46" spans="1:4" x14ac:dyDescent="0.3">
      <c r="A46" s="13" t="str">
        <f>[1]攻守數據!Y47</f>
        <v>胡地</v>
      </c>
      <c r="B46" s="13" t="str">
        <f>[1]攻守數據!Z47</f>
        <v>超能力</v>
      </c>
      <c r="C46" s="13" t="str">
        <f>[1]攻守數據!AA47</f>
        <v>無</v>
      </c>
      <c r="D46" s="14">
        <f>[1]攻守數據!AB47</f>
        <v>18.288</v>
      </c>
    </row>
    <row r="47" spans="1:4" x14ac:dyDescent="0.3">
      <c r="A47" s="13" t="str">
        <f>[1]攻守數據!Y48</f>
        <v>鋁鋼龍</v>
      </c>
      <c r="B47" s="13" t="str">
        <f>[1]攻守數據!Z48</f>
        <v>鋼</v>
      </c>
      <c r="C47" s="13" t="str">
        <f>[1]攻守數據!AA48</f>
        <v>龍</v>
      </c>
      <c r="D47" s="14">
        <f>[1]攻守數據!AB48</f>
        <v>23.225999999999999</v>
      </c>
    </row>
    <row r="48" spans="1:4" x14ac:dyDescent="0.3">
      <c r="A48" s="13" t="str">
        <f>[1]攻守數據!Y49</f>
        <v>甜冷美后</v>
      </c>
      <c r="B48" s="13" t="str">
        <f>[1]攻守數據!Z49</f>
        <v>草</v>
      </c>
      <c r="C48" s="13" t="str">
        <f>[1]攻守數據!AA49</f>
        <v>無</v>
      </c>
      <c r="D48" s="14">
        <f>[1]攻守數據!AB49</f>
        <v>24.9</v>
      </c>
    </row>
    <row r="49" spans="1:4" x14ac:dyDescent="0.3">
      <c r="A49" s="13" t="str">
        <f>[1]攻守數據!Y50</f>
        <v>沙奈朵</v>
      </c>
      <c r="B49" s="13" t="str">
        <f>[1]攻守數據!Z50</f>
        <v>超能力</v>
      </c>
      <c r="C49" s="13" t="str">
        <f>[1]攻守數據!AA50</f>
        <v>妖精</v>
      </c>
      <c r="D49" s="14">
        <f>[1]攻守數據!AB50</f>
        <v>24.07</v>
      </c>
    </row>
    <row r="50" spans="1:4" x14ac:dyDescent="0.3">
      <c r="A50" s="13" t="str">
        <f>[1]攻守數據!Y51</f>
        <v>超級巨伊布</v>
      </c>
      <c r="B50" s="13" t="str">
        <f>[1]攻守數據!Z51</f>
        <v>一般</v>
      </c>
      <c r="C50" s="13" t="str">
        <f>[1]攻守數據!AA51</f>
        <v>無</v>
      </c>
      <c r="D50" s="14">
        <f>[1]攻守數據!AB51</f>
        <v>12.954000000000001</v>
      </c>
    </row>
    <row r="51" spans="1:4" x14ac:dyDescent="0.3">
      <c r="A51" s="13" t="str">
        <f>[1]攻守數據!Y52</f>
        <v>水伊布</v>
      </c>
      <c r="B51" s="13" t="str">
        <f>[1]攻守數據!Z52</f>
        <v>水</v>
      </c>
      <c r="C51" s="13" t="str">
        <f>[1]攻守數據!AA52</f>
        <v>無</v>
      </c>
      <c r="D51" s="14">
        <f>[1]攻守數據!AB52</f>
        <v>31.97</v>
      </c>
    </row>
    <row r="52" spans="1:4" x14ac:dyDescent="0.3">
      <c r="A52" s="13" t="str">
        <f>[1]攻守數據!Y53</f>
        <v>雷伊布</v>
      </c>
      <c r="B52" s="13" t="str">
        <f>[1]攻守數據!Z53</f>
        <v>電</v>
      </c>
      <c r="C52" s="13" t="str">
        <f>[1]攻守數據!AA53</f>
        <v>無</v>
      </c>
      <c r="D52" s="14">
        <f>[1]攻守數據!AB53</f>
        <v>21.84</v>
      </c>
    </row>
    <row r="53" spans="1:4" x14ac:dyDescent="0.3">
      <c r="A53" s="13" t="str">
        <f>[1]攻守數據!Y54</f>
        <v>火伊布</v>
      </c>
      <c r="B53" s="13" t="str">
        <f>[1]攻守數據!Z54</f>
        <v>火</v>
      </c>
      <c r="C53" s="13" t="str">
        <f>[1]攻守數據!AA54</f>
        <v>無</v>
      </c>
      <c r="D53" s="14">
        <f>[1]攻守數據!AB54</f>
        <v>21.42</v>
      </c>
    </row>
    <row r="54" spans="1:4" x14ac:dyDescent="0.3">
      <c r="A54" s="13" t="str">
        <f>[1]攻守數據!Y55</f>
        <v>太陽伊布</v>
      </c>
      <c r="B54" s="13" t="str">
        <f>[1]攻守數據!Z55</f>
        <v>超能力</v>
      </c>
      <c r="C54" s="13" t="str">
        <f>[1]攻守數據!AA55</f>
        <v>無</v>
      </c>
      <c r="D54" s="14">
        <f>[1]攻守數據!AB55</f>
        <v>21</v>
      </c>
    </row>
    <row r="55" spans="1:4" x14ac:dyDescent="0.3">
      <c r="A55" s="13" t="str">
        <f>[1]攻守數據!Y56</f>
        <v>月亮伊布</v>
      </c>
      <c r="B55" s="13" t="str">
        <f>[1]攻守數據!Z56</f>
        <v>惡</v>
      </c>
      <c r="C55" s="13" t="str">
        <f>[1]攻守數據!AA56</f>
        <v>無</v>
      </c>
      <c r="D55" s="14">
        <f>[1]攻守數據!AB56</f>
        <v>36.764000000000003</v>
      </c>
    </row>
    <row r="56" spans="1:4" x14ac:dyDescent="0.3">
      <c r="A56" s="13" t="str">
        <f>[1]攻守數據!Y57</f>
        <v>葉伊布</v>
      </c>
      <c r="B56" s="13" t="str">
        <f>[1]攻守數據!Z57</f>
        <v>草</v>
      </c>
      <c r="C56" s="13" t="str">
        <f>[1]攻守數據!AA57</f>
        <v>無</v>
      </c>
      <c r="D56" s="14">
        <f>[1]攻守數據!AB57</f>
        <v>25.9</v>
      </c>
    </row>
    <row r="57" spans="1:4" x14ac:dyDescent="0.3">
      <c r="A57" s="13" t="str">
        <f>[1]攻守數據!Y58</f>
        <v>冰伊布</v>
      </c>
      <c r="B57" s="13" t="str">
        <f>[1]攻守數據!Z58</f>
        <v>冰</v>
      </c>
      <c r="C57" s="13" t="str">
        <f>[1]攻守數據!AA58</f>
        <v>無</v>
      </c>
      <c r="D57" s="14">
        <f>[1]攻守數據!AB58</f>
        <v>24.36</v>
      </c>
    </row>
    <row r="58" spans="1:4" x14ac:dyDescent="0.3">
      <c r="A58" s="13" t="str">
        <f>[1]攻守數據!Y59</f>
        <v>仙子伊布</v>
      </c>
      <c r="B58" s="13" t="str">
        <f>[1]攻守數據!Z59</f>
        <v>妖精</v>
      </c>
      <c r="C58" s="13" t="str">
        <f>[1]攻守數據!AA59</f>
        <v>無</v>
      </c>
      <c r="D58" s="14">
        <f>[1]攻守數據!AB59</f>
        <v>31.486000000000001</v>
      </c>
    </row>
    <row r="59" spans="1:4" x14ac:dyDescent="0.3">
      <c r="A59" s="13" t="str">
        <f>[1]攻守數據!Y60</f>
        <v>艾路雷朵</v>
      </c>
      <c r="B59" s="13" t="str">
        <f>[1]攻守數據!Z60</f>
        <v>超能力</v>
      </c>
      <c r="C59" s="13" t="str">
        <f>[1]攻守數據!AA60</f>
        <v>格鬥</v>
      </c>
      <c r="D59" s="14">
        <f>[1]攻守數據!AB60</f>
        <v>24.07</v>
      </c>
    </row>
    <row r="60" spans="1:4" x14ac:dyDescent="0.3">
      <c r="A60" s="13" t="str">
        <f>[1]攻守數據!Y61</f>
        <v>烏賊王</v>
      </c>
      <c r="B60" s="13" t="str">
        <f>[1]攻守數據!Z61</f>
        <v>惡</v>
      </c>
      <c r="C60" s="13" t="str">
        <f>[1]攻守數據!AA61</f>
        <v>超能力</v>
      </c>
      <c r="D60" s="14">
        <f>[1]攻守數據!AB61</f>
        <v>23.998000000000001</v>
      </c>
    </row>
    <row r="61" spans="1:4" x14ac:dyDescent="0.3">
      <c r="A61" s="13" t="str">
        <f>[1]攻守數據!Y62</f>
        <v>心蝙蝠</v>
      </c>
      <c r="B61" s="13" t="str">
        <f>[1]攻守數據!Z62</f>
        <v>超能力</v>
      </c>
      <c r="C61" s="13" t="str">
        <f>[1]攻守數據!AA62</f>
        <v>飛行</v>
      </c>
      <c r="D61" s="14">
        <f>[1]攻守數據!AB62</f>
        <v>15.157999999999999</v>
      </c>
    </row>
    <row r="62" spans="1:4" x14ac:dyDescent="0.3">
      <c r="A62" s="13" t="str">
        <f>[1]攻守數據!Y63</f>
        <v>超極巨灰塵山</v>
      </c>
      <c r="B62" s="13" t="str">
        <f>[1]攻守數據!Z63</f>
        <v>毒</v>
      </c>
      <c r="C62" s="13" t="str">
        <f>[1]攻守數據!AA63</f>
        <v>無</v>
      </c>
      <c r="D62" s="14">
        <f>[1]攻守數據!AB63</f>
        <v>22.4</v>
      </c>
    </row>
    <row r="63" spans="1:4" x14ac:dyDescent="0.3">
      <c r="A63" s="13" t="str">
        <f>[1]攻守數據!Y64</f>
        <v>洛奇亞</v>
      </c>
      <c r="B63" s="13" t="str">
        <f>[1]攻守數據!Z64</f>
        <v>超能力</v>
      </c>
      <c r="C63" s="13" t="str">
        <f>[1]攻守數據!AA64</f>
        <v>飛行</v>
      </c>
      <c r="D63" s="14">
        <f>[1]攻守數據!AB64</f>
        <v>50.628999999999998</v>
      </c>
    </row>
    <row r="64" spans="1:4" x14ac:dyDescent="0.3">
      <c r="A64" s="15" t="str">
        <f>[1]攻守數據!Y65</f>
        <v>飛腿郎</v>
      </c>
      <c r="B64" s="13" t="str">
        <f>[1]攻守數據!Z65</f>
        <v>格鬥</v>
      </c>
      <c r="C64" s="13" t="str">
        <f>[1]攻守數據!AA65</f>
        <v>無</v>
      </c>
      <c r="D64" s="16">
        <f>[1]攻守數據!AB65</f>
        <v>18.600000000000001</v>
      </c>
    </row>
    <row r="65" spans="1:4" x14ac:dyDescent="0.3">
      <c r="A65" s="15" t="str">
        <f>[1]攻守數據!Y66</f>
        <v>快拳郎</v>
      </c>
      <c r="B65" s="13" t="str">
        <f>[1]攻守數據!Z66</f>
        <v>格鬥</v>
      </c>
      <c r="C65" s="13" t="str">
        <f>[1]攻守數據!AA66</f>
        <v>無</v>
      </c>
      <c r="D65" s="16">
        <f>[1]攻守數據!AB66</f>
        <v>20.16</v>
      </c>
    </row>
    <row r="66" spans="1:4" x14ac:dyDescent="0.3">
      <c r="A66" s="15" t="str">
        <f>IF([1]攻守數據!Y67 = "", "", [1]攻守數據!Y67)</f>
        <v/>
      </c>
      <c r="B66" s="15" t="str">
        <f>IF([1]攻守數據!Z67 = "", "", [1]攻守數據!Z67)</f>
        <v/>
      </c>
      <c r="C66" s="15" t="str">
        <f>IF([1]攻守數據!AA67 = "", "", [1]攻守數據!AA67)</f>
        <v/>
      </c>
      <c r="D66" s="15" t="str">
        <f>IF([1]攻守數據!AB67 = "", "", [1]攻守數據!AB67)</f>
        <v/>
      </c>
    </row>
    <row r="67" spans="1:4" x14ac:dyDescent="0.3">
      <c r="A67" s="15" t="str">
        <f>IF([1]攻守數據!Y68 = "", "", [1]攻守數據!Y68)</f>
        <v/>
      </c>
      <c r="B67" s="15" t="str">
        <f>IF([1]攻守數據!Z68 = "", "", [1]攻守數據!Z68)</f>
        <v/>
      </c>
      <c r="C67" s="15" t="str">
        <f>IF([1]攻守數據!AA68 = "", "", [1]攻守數據!AA68)</f>
        <v/>
      </c>
      <c r="D67" s="15" t="str">
        <f>IF([1]攻守數據!AB68 = "", "", [1]攻守數據!AB68)</f>
        <v/>
      </c>
    </row>
    <row r="68" spans="1:4" x14ac:dyDescent="0.3">
      <c r="A68" s="15" t="str">
        <f>IF([1]攻守數據!Y69 = "", "", [1]攻守數據!Y69)</f>
        <v/>
      </c>
      <c r="B68" s="15" t="str">
        <f>IF([1]攻守數據!Z69 = "", "", [1]攻守數據!Z69)</f>
        <v/>
      </c>
      <c r="C68" s="15" t="str">
        <f>IF([1]攻守數據!AA69 = "", "", [1]攻守數據!AA69)</f>
        <v/>
      </c>
      <c r="D68" s="15" t="str">
        <f>IF([1]攻守數據!AB69 = "", "", [1]攻守數據!AB69)</f>
        <v/>
      </c>
    </row>
    <row r="69" spans="1:4" x14ac:dyDescent="0.3">
      <c r="A69" s="15" t="str">
        <f>IF([1]攻守數據!Y70 = "", "", [1]攻守數據!Y70)</f>
        <v/>
      </c>
      <c r="B69" s="15" t="str">
        <f>IF([1]攻守數據!Z70 = "", "", [1]攻守數據!Z70)</f>
        <v/>
      </c>
      <c r="C69" s="15" t="str">
        <f>IF([1]攻守數據!AA70 = "", "", [1]攻守數據!AA70)</f>
        <v/>
      </c>
      <c r="D69" s="15" t="str">
        <f>IF([1]攻守數據!AB70 = "", "", [1]攻守數據!AB70)</f>
        <v/>
      </c>
    </row>
    <row r="70" spans="1:4" x14ac:dyDescent="0.3">
      <c r="A70" s="15" t="str">
        <f>IF([1]攻守數據!Y71 = "", "", [1]攻守數據!Y71)</f>
        <v/>
      </c>
      <c r="B70" s="15" t="str">
        <f>IF([1]攻守數據!Z71 = "", "", [1]攻守數據!Z71)</f>
        <v/>
      </c>
      <c r="C70" s="15" t="str">
        <f>IF([1]攻守數據!AA71 = "", "", [1]攻守數據!AA71)</f>
        <v/>
      </c>
      <c r="D70" s="15" t="str">
        <f>IF([1]攻守數據!AB71 = "", "", [1]攻守數據!AB71)</f>
        <v/>
      </c>
    </row>
    <row r="71" spans="1:4" x14ac:dyDescent="0.3">
      <c r="A71" s="15" t="str">
        <f>IF([1]攻守數據!Y72 = "", "", [1]攻守數據!Y72)</f>
        <v/>
      </c>
      <c r="B71" s="15" t="str">
        <f>IF([1]攻守數據!Z72 = "", "", [1]攻守數據!Z72)</f>
        <v/>
      </c>
      <c r="C71" s="15" t="str">
        <f>IF([1]攻守數據!AA72 = "", "", [1]攻守數據!AA72)</f>
        <v/>
      </c>
      <c r="D71" s="15" t="str">
        <f>IF([1]攻守數據!AB72 = "", "", [1]攻守數據!AB72)</f>
        <v/>
      </c>
    </row>
    <row r="72" spans="1:4" x14ac:dyDescent="0.3">
      <c r="A72" s="15" t="str">
        <f>IF([1]攻守數據!Y73 = "", "", [1]攻守數據!Y73)</f>
        <v/>
      </c>
      <c r="B72" s="15" t="str">
        <f>IF([1]攻守數據!Z73 = "", "", [1]攻守數據!Z73)</f>
        <v/>
      </c>
      <c r="C72" s="15" t="str">
        <f>IF([1]攻守數據!AA73 = "", "", [1]攻守數據!AA73)</f>
        <v/>
      </c>
      <c r="D72" s="15" t="str">
        <f>IF([1]攻守數據!AB73 = "", "", [1]攻守數據!AB73)</f>
        <v/>
      </c>
    </row>
    <row r="73" spans="1:4" x14ac:dyDescent="0.3">
      <c r="A73" s="15" t="str">
        <f>IF([1]攻守數據!Y74 = "", "", [1]攻守數據!Y74)</f>
        <v/>
      </c>
      <c r="B73" s="15" t="str">
        <f>IF([1]攻守數據!Z74 = "", "", [1]攻守數據!Z74)</f>
        <v/>
      </c>
      <c r="C73" s="15" t="str">
        <f>IF([1]攻守數據!AA74 = "", "", [1]攻守數據!AA74)</f>
        <v/>
      </c>
      <c r="D73" s="15" t="str">
        <f>IF([1]攻守數據!AB74 = "", "", [1]攻守數據!AB74)</f>
        <v/>
      </c>
    </row>
    <row r="74" spans="1:4" x14ac:dyDescent="0.3">
      <c r="A74" s="15" t="str">
        <f>IF([1]攻守數據!Y75 = "", "", [1]攻守數據!Y75)</f>
        <v/>
      </c>
      <c r="B74" s="15" t="str">
        <f>IF([1]攻守數據!Z75 = "", "", [1]攻守數據!Z75)</f>
        <v/>
      </c>
      <c r="C74" s="15" t="str">
        <f>IF([1]攻守數據!AA75 = "", "", [1]攻守數據!AA75)</f>
        <v/>
      </c>
      <c r="D74" s="15" t="str">
        <f>IF([1]攻守數據!AB75 = "", "", [1]攻守數據!AB75)</f>
        <v/>
      </c>
    </row>
    <row r="75" spans="1:4" x14ac:dyDescent="0.3">
      <c r="A75" s="15" t="str">
        <f>IF([1]攻守數據!Y76 = "", "", [1]攻守數據!Y76)</f>
        <v/>
      </c>
      <c r="B75" s="15" t="str">
        <f>IF([1]攻守數據!Z76 = "", "", [1]攻守數據!Z76)</f>
        <v/>
      </c>
      <c r="C75" s="15" t="str">
        <f>IF([1]攻守數據!AA76 = "", "", [1]攻守數據!AA76)</f>
        <v/>
      </c>
      <c r="D75" s="15" t="str">
        <f>IF([1]攻守數據!AB76 = "", "", [1]攻守數據!AB76)</f>
        <v/>
      </c>
    </row>
    <row r="76" spans="1:4" x14ac:dyDescent="0.3">
      <c r="A76" s="15" t="str">
        <f>IF([1]攻守數據!Y77 = "", "", [1]攻守數據!Y77)</f>
        <v/>
      </c>
      <c r="B76" s="15" t="str">
        <f>IF([1]攻守數據!Z77 = "", "", [1]攻守數據!Z77)</f>
        <v/>
      </c>
      <c r="C76" s="15" t="str">
        <f>IF([1]攻守數據!AA77 = "", "", [1]攻守數據!AA77)</f>
        <v/>
      </c>
      <c r="D76" s="15" t="str">
        <f>IF([1]攻守數據!AB77 = "", "", [1]攻守數據!AB77)</f>
        <v/>
      </c>
    </row>
    <row r="77" spans="1:4" x14ac:dyDescent="0.3">
      <c r="A77" s="15" t="str">
        <f>IF([1]攻守數據!Y78 = "", "", [1]攻守數據!Y78)</f>
        <v/>
      </c>
      <c r="B77" s="15" t="str">
        <f>IF([1]攻守數據!Z78 = "", "", [1]攻守數據!Z78)</f>
        <v/>
      </c>
      <c r="C77" s="15" t="str">
        <f>IF([1]攻守數據!AA78 = "", "", [1]攻守數據!AA78)</f>
        <v/>
      </c>
      <c r="D77" s="15" t="str">
        <f>IF([1]攻守數據!AB78 = "", "", [1]攻守數據!AB78)</f>
        <v/>
      </c>
    </row>
    <row r="78" spans="1:4" x14ac:dyDescent="0.3">
      <c r="A78" s="15" t="str">
        <f>IF([1]攻守數據!Y79 = "", "", [1]攻守數據!Y79)</f>
        <v/>
      </c>
      <c r="B78" s="15" t="str">
        <f>IF([1]攻守數據!Z79 = "", "", [1]攻守數據!Z79)</f>
        <v/>
      </c>
      <c r="C78" s="15" t="str">
        <f>IF([1]攻守數據!AA79 = "", "", [1]攻守數據!AA79)</f>
        <v/>
      </c>
      <c r="D78" s="15" t="str">
        <f>IF([1]攻守數據!AB79 = "", "", [1]攻守數據!AB79)</f>
        <v/>
      </c>
    </row>
    <row r="79" spans="1:4" x14ac:dyDescent="0.3">
      <c r="A79" s="15" t="str">
        <f>IF([1]攻守數據!Y80 = "", "", [1]攻守數據!Y80)</f>
        <v/>
      </c>
      <c r="B79" s="15" t="str">
        <f>IF([1]攻守數據!Z80 = "", "", [1]攻守數據!Z80)</f>
        <v/>
      </c>
      <c r="C79" s="15" t="str">
        <f>IF([1]攻守數據!AA80 = "", "", [1]攻守數據!AA80)</f>
        <v/>
      </c>
      <c r="D79" s="15" t="str">
        <f>IF([1]攻守數據!AB80 = "", "", [1]攻守數據!AB80)</f>
        <v/>
      </c>
    </row>
    <row r="80" spans="1:4" x14ac:dyDescent="0.3">
      <c r="A80" s="15" t="str">
        <f>IF([1]攻守數據!Y81 = "", "", [1]攻守數據!Y81)</f>
        <v/>
      </c>
      <c r="B80" s="15" t="str">
        <f>IF([1]攻守數據!Z81 = "", "", [1]攻守數據!Z81)</f>
        <v/>
      </c>
      <c r="C80" s="15" t="str">
        <f>IF([1]攻守數據!AA81 = "", "", [1]攻守數據!AA81)</f>
        <v/>
      </c>
      <c r="D80" s="15" t="str">
        <f>IF([1]攻守數據!AB81 = "", "", [1]攻守數據!AB81)</f>
        <v/>
      </c>
    </row>
    <row r="81" spans="1:4" x14ac:dyDescent="0.3">
      <c r="A81" s="15" t="str">
        <f>IF([1]攻守數據!Y82 = "", "", [1]攻守數據!Y82)</f>
        <v/>
      </c>
      <c r="B81" s="15" t="str">
        <f>IF([1]攻守數據!Z82 = "", "", [1]攻守數據!Z82)</f>
        <v/>
      </c>
      <c r="C81" s="15" t="str">
        <f>IF([1]攻守數據!AA82 = "", "", [1]攻守數據!AA82)</f>
        <v/>
      </c>
      <c r="D81" s="15" t="str">
        <f>IF([1]攻守數據!AB82 = "", "", [1]攻守數據!AB82)</f>
        <v/>
      </c>
    </row>
    <row r="82" spans="1:4" x14ac:dyDescent="0.3">
      <c r="A82" s="15" t="str">
        <f>IF([1]攻守數據!Y83 = "", "", [1]攻守數據!Y83)</f>
        <v/>
      </c>
      <c r="B82" s="15" t="str">
        <f>IF([1]攻守數據!Z83 = "", "", [1]攻守數據!Z83)</f>
        <v/>
      </c>
      <c r="C82" s="15" t="str">
        <f>IF([1]攻守數據!AA83 = "", "", [1]攻守數據!AA83)</f>
        <v/>
      </c>
      <c r="D82" s="15" t="str">
        <f>IF([1]攻守數據!AB83 = "", "", [1]攻守數據!AB83)</f>
        <v/>
      </c>
    </row>
    <row r="83" spans="1:4" x14ac:dyDescent="0.3">
      <c r="A83" s="15" t="str">
        <f>IF([1]攻守數據!Y84 = "", "", [1]攻守數據!Y84)</f>
        <v/>
      </c>
      <c r="B83" s="15" t="str">
        <f>IF([1]攻守數據!Z84 = "", "", [1]攻守數據!Z84)</f>
        <v/>
      </c>
      <c r="C83" s="15" t="str">
        <f>IF([1]攻守數據!AA84 = "", "", [1]攻守數據!AA84)</f>
        <v/>
      </c>
      <c r="D83" s="15" t="str">
        <f>IF([1]攻守數據!AB84 = "", "", [1]攻守數據!AB84)</f>
        <v/>
      </c>
    </row>
    <row r="84" spans="1:4" x14ac:dyDescent="0.3">
      <c r="A84" s="15" t="str">
        <f>IF([1]攻守數據!Y85 = "", "", [1]攻守數據!Y85)</f>
        <v/>
      </c>
      <c r="B84" s="15" t="str">
        <f>IF([1]攻守數據!Z85 = "", "", [1]攻守數據!Z85)</f>
        <v/>
      </c>
      <c r="C84" s="15" t="str">
        <f>IF([1]攻守數據!AA85 = "", "", [1]攻守數據!AA85)</f>
        <v/>
      </c>
      <c r="D84" s="15" t="str">
        <f>IF([1]攻守數據!AB85 = "", "", [1]攻守數據!AB85)</f>
        <v/>
      </c>
    </row>
    <row r="85" spans="1:4" x14ac:dyDescent="0.3">
      <c r="A85" s="15" t="str">
        <f>IF([1]攻守數據!Y86 = "", "", [1]攻守數據!Y86)</f>
        <v/>
      </c>
      <c r="B85" s="15" t="str">
        <f>IF([1]攻守數據!Z86 = "", "", [1]攻守數據!Z86)</f>
        <v/>
      </c>
      <c r="C85" s="15" t="str">
        <f>IF([1]攻守數據!AA86 = "", "", [1]攻守數據!AA86)</f>
        <v/>
      </c>
      <c r="D85" s="15" t="str">
        <f>IF([1]攻守數據!AB86 = "", "", [1]攻守數據!AB86)</f>
        <v/>
      </c>
    </row>
    <row r="86" spans="1:4" x14ac:dyDescent="0.3">
      <c r="A86" s="15" t="str">
        <f>IF([1]攻守數據!Y87 = "", "", [1]攻守數據!Y87)</f>
        <v/>
      </c>
      <c r="B86" s="15" t="str">
        <f>IF([1]攻守數據!Z87 = "", "", [1]攻守數據!Z87)</f>
        <v/>
      </c>
      <c r="C86" s="15" t="str">
        <f>IF([1]攻守數據!AA87 = "", "", [1]攻守數據!AA87)</f>
        <v/>
      </c>
      <c r="D86" s="15" t="str">
        <f>IF([1]攻守數據!AB87 = "", "", [1]攻守數據!AB87)</f>
        <v/>
      </c>
    </row>
    <row r="87" spans="1:4" x14ac:dyDescent="0.3">
      <c r="A87" s="15" t="str">
        <f>IF([1]攻守數據!Y88 = "", "", [1]攻守數據!Y88)</f>
        <v/>
      </c>
      <c r="B87" s="15" t="str">
        <f>IF([1]攻守數據!Z88 = "", "", [1]攻守數據!Z88)</f>
        <v/>
      </c>
      <c r="C87" s="15" t="str">
        <f>IF([1]攻守數據!AA88 = "", "", [1]攻守數據!AA88)</f>
        <v/>
      </c>
      <c r="D87" s="15" t="str">
        <f>IF([1]攻守數據!AB88 = "", "", [1]攻守數據!AB88)</f>
        <v/>
      </c>
    </row>
    <row r="88" spans="1:4" x14ac:dyDescent="0.3">
      <c r="A88" s="15" t="str">
        <f>IF([1]攻守數據!Y89 = "", "", [1]攻守數據!Y89)</f>
        <v/>
      </c>
      <c r="B88" s="15" t="str">
        <f>IF([1]攻守數據!Z89 = "", "", [1]攻守數據!Z89)</f>
        <v/>
      </c>
      <c r="C88" s="15" t="str">
        <f>IF([1]攻守數據!AA89 = "", "", [1]攻守數據!AA89)</f>
        <v/>
      </c>
      <c r="D88" s="15" t="str">
        <f>IF([1]攻守數據!AB89 = "", "", [1]攻守數據!AB89)</f>
        <v/>
      </c>
    </row>
    <row r="89" spans="1:4" x14ac:dyDescent="0.3">
      <c r="A89" s="15" t="str">
        <f>IF([1]攻守數據!Y90 = "", "", [1]攻守數據!Y90)</f>
        <v/>
      </c>
      <c r="B89" s="15" t="str">
        <f>IF([1]攻守數據!Z90 = "", "", [1]攻守數據!Z90)</f>
        <v/>
      </c>
      <c r="C89" s="15" t="str">
        <f>IF([1]攻守數據!AA90 = "", "", [1]攻守數據!AA90)</f>
        <v/>
      </c>
      <c r="D89" s="15" t="str">
        <f>IF([1]攻守數據!AB90 = "", "", [1]攻守數據!AB90)</f>
        <v/>
      </c>
    </row>
    <row r="90" spans="1:4" x14ac:dyDescent="0.3">
      <c r="A90" s="15" t="str">
        <f>IF([1]攻守數據!Y91 = "", "", [1]攻守數據!Y91)</f>
        <v/>
      </c>
      <c r="B90" s="15" t="str">
        <f>IF([1]攻守數據!Z91 = "", "", [1]攻守數據!Z91)</f>
        <v/>
      </c>
      <c r="C90" s="15" t="str">
        <f>IF([1]攻守數據!AA91 = "", "", [1]攻守數據!AA91)</f>
        <v/>
      </c>
      <c r="D90" s="15" t="str">
        <f>IF([1]攻守數據!AB91 = "", "", [1]攻守數據!AB91)</f>
        <v/>
      </c>
    </row>
    <row r="91" spans="1:4" x14ac:dyDescent="0.3">
      <c r="A91" s="15" t="str">
        <f>IF([1]攻守數據!Y92 = "", "", [1]攻守數據!Y92)</f>
        <v/>
      </c>
      <c r="B91" s="15" t="str">
        <f>IF([1]攻守數據!Z92 = "", "", [1]攻守數據!Z92)</f>
        <v/>
      </c>
      <c r="C91" s="15" t="str">
        <f>IF([1]攻守數據!AA92 = "", "", [1]攻守數據!AA92)</f>
        <v/>
      </c>
      <c r="D91" s="15" t="str">
        <f>IF([1]攻守數據!AB92 = "", "", [1]攻守數據!AB92)</f>
        <v/>
      </c>
    </row>
    <row r="92" spans="1:4" x14ac:dyDescent="0.3">
      <c r="A92" s="15" t="str">
        <f>IF([1]攻守數據!Y93 = "", "", [1]攻守數據!Y93)</f>
        <v/>
      </c>
      <c r="B92" s="15" t="str">
        <f>IF([1]攻守數據!Z93 = "", "", [1]攻守數據!Z93)</f>
        <v/>
      </c>
      <c r="C92" s="15" t="str">
        <f>IF([1]攻守數據!AA93 = "", "", [1]攻守數據!AA93)</f>
        <v/>
      </c>
      <c r="D92" s="15" t="str">
        <f>IF([1]攻守數據!AB93 = "", "", [1]攻守數據!AB93)</f>
        <v/>
      </c>
    </row>
    <row r="93" spans="1:4" x14ac:dyDescent="0.3">
      <c r="A93" s="15" t="str">
        <f>IF([1]攻守數據!Y94 = "", "", [1]攻守數據!Y94)</f>
        <v/>
      </c>
      <c r="B93" s="15" t="str">
        <f>IF([1]攻守數據!Z94 = "", "", [1]攻守數據!Z94)</f>
        <v/>
      </c>
      <c r="C93" s="15" t="str">
        <f>IF([1]攻守數據!AA94 = "", "", [1]攻守數據!AA94)</f>
        <v/>
      </c>
      <c r="D93" s="15" t="str">
        <f>IF([1]攻守數據!AB94 = "", "", [1]攻守數據!AB94)</f>
        <v/>
      </c>
    </row>
    <row r="94" spans="1:4" x14ac:dyDescent="0.3">
      <c r="A94" s="15" t="str">
        <f>IF([1]攻守數據!Y95 = "", "", [1]攻守數據!Y95)</f>
        <v/>
      </c>
      <c r="B94" s="15" t="str">
        <f>IF([1]攻守數據!Z95 = "", "", [1]攻守數據!Z95)</f>
        <v/>
      </c>
      <c r="C94" s="15" t="str">
        <f>IF([1]攻守數據!AA95 = "", "", [1]攻守數據!AA95)</f>
        <v/>
      </c>
      <c r="D94" s="15" t="str">
        <f>IF([1]攻守數據!AB95 = "", "", [1]攻守數據!AB95)</f>
        <v/>
      </c>
    </row>
    <row r="95" spans="1:4" x14ac:dyDescent="0.3">
      <c r="A95" s="15" t="str">
        <f>IF([1]攻守數據!Y96 = "", "", [1]攻守數據!Y96)</f>
        <v/>
      </c>
      <c r="B95" s="15" t="str">
        <f>IF([1]攻守數據!Z96 = "", "", [1]攻守數據!Z96)</f>
        <v/>
      </c>
      <c r="C95" s="15" t="str">
        <f>IF([1]攻守數據!AA96 = "", "", [1]攻守數據!AA96)</f>
        <v/>
      </c>
      <c r="D95" s="15" t="str">
        <f>IF([1]攻守數據!AB96 = "", "", [1]攻守數據!AB96)</f>
        <v/>
      </c>
    </row>
    <row r="96" spans="1:4" x14ac:dyDescent="0.3">
      <c r="A96" s="15" t="str">
        <f>IF([1]攻守數據!Y97 = "", "", [1]攻守數據!Y97)</f>
        <v/>
      </c>
      <c r="B96" s="15" t="str">
        <f>IF([1]攻守數據!Z97 = "", "", [1]攻守數據!Z97)</f>
        <v/>
      </c>
      <c r="C96" s="15" t="str">
        <f>IF([1]攻守數據!AA97 = "", "", [1]攻守數據!AA97)</f>
        <v/>
      </c>
      <c r="D96" s="15" t="str">
        <f>IF([1]攻守數據!AB97 = "", "", [1]攻守數據!AB97)</f>
        <v/>
      </c>
    </row>
    <row r="97" spans="1:4" x14ac:dyDescent="0.3">
      <c r="A97" s="15" t="str">
        <f>IF([1]攻守數據!Y98 = "", "", [1]攻守數據!Y98)</f>
        <v/>
      </c>
      <c r="B97" s="15" t="str">
        <f>IF([1]攻守數據!Z98 = "", "", [1]攻守數據!Z98)</f>
        <v/>
      </c>
      <c r="C97" s="15" t="str">
        <f>IF([1]攻守數據!AA98 = "", "", [1]攻守數據!AA98)</f>
        <v/>
      </c>
      <c r="D97" s="15" t="str">
        <f>IF([1]攻守數據!AB98 = "", "", [1]攻守數據!AB98)</f>
        <v/>
      </c>
    </row>
    <row r="98" spans="1:4" x14ac:dyDescent="0.3">
      <c r="A98" s="15" t="str">
        <f>IF([1]攻守數據!Y99 = "", "", [1]攻守數據!Y99)</f>
        <v/>
      </c>
      <c r="B98" s="15" t="str">
        <f>IF([1]攻守數據!Z99 = "", "", [1]攻守數據!Z99)</f>
        <v/>
      </c>
      <c r="C98" s="15" t="str">
        <f>IF([1]攻守數據!AA99 = "", "", [1]攻守數據!AA99)</f>
        <v/>
      </c>
      <c r="D98" s="15" t="str">
        <f>IF([1]攻守數據!AB99 = "", "", [1]攻守數據!AB99)</f>
        <v/>
      </c>
    </row>
    <row r="99" spans="1:4" x14ac:dyDescent="0.3">
      <c r="A99" s="15" t="str">
        <f>IF([1]攻守數據!Y100 = "", "", [1]攻守數據!Y100)</f>
        <v/>
      </c>
      <c r="B99" s="15" t="str">
        <f>IF([1]攻守數據!Z100 = "", "", [1]攻守數據!Z100)</f>
        <v/>
      </c>
      <c r="C99" s="15" t="str">
        <f>IF([1]攻守數據!AA100 = "", "", [1]攻守數據!AA100)</f>
        <v/>
      </c>
      <c r="D99" s="15" t="str">
        <f>IF([1]攻守數據!AB100 = "", "", [1]攻守數據!AB100)</f>
        <v/>
      </c>
    </row>
    <row r="100" spans="1:4" x14ac:dyDescent="0.3">
      <c r="A100" s="15" t="str">
        <f>IF([1]攻守數據!Y101 = "", "", [1]攻守數據!Y101)</f>
        <v/>
      </c>
      <c r="B100" s="15" t="str">
        <f>IF([1]攻守數據!Z101 = "", "", [1]攻守數據!Z101)</f>
        <v/>
      </c>
      <c r="C100" s="15" t="str">
        <f>IF([1]攻守數據!AA101 = "", "", [1]攻守數據!AA101)</f>
        <v/>
      </c>
      <c r="D100" s="15" t="str">
        <f>IF([1]攻守數據!AB101 = "", "", [1]攻守數據!AB101)</f>
        <v/>
      </c>
    </row>
    <row r="101" spans="1:4" x14ac:dyDescent="0.3">
      <c r="A101" s="15" t="str">
        <f>IF([1]攻守數據!Y102 = "", "", [1]攻守數據!Y102)</f>
        <v/>
      </c>
      <c r="B101" s="15" t="str">
        <f>IF([1]攻守數據!Z102 = "", "", [1]攻守數據!Z102)</f>
        <v/>
      </c>
      <c r="C101" s="15" t="str">
        <f>IF([1]攻守數據!AA102 = "", "", [1]攻守數據!AA102)</f>
        <v/>
      </c>
      <c r="D101" s="15" t="str">
        <f>IF([1]攻守數據!AB102 = "", "", [1]攻守數據!AB102)</f>
        <v/>
      </c>
    </row>
    <row r="102" spans="1:4" x14ac:dyDescent="0.3">
      <c r="A102" s="15" t="str">
        <f>IF([1]攻守數據!Y103 = "", "", [1]攻守數據!Y103)</f>
        <v/>
      </c>
      <c r="B102" s="15" t="str">
        <f>IF([1]攻守數據!Z103 = "", "", [1]攻守數據!Z103)</f>
        <v/>
      </c>
      <c r="C102" s="15" t="str">
        <f>IF([1]攻守數據!AA103 = "", "", [1]攻守數據!AA103)</f>
        <v/>
      </c>
      <c r="D102" s="15" t="str">
        <f>IF([1]攻守數據!AB103 = "", "", [1]攻守數據!AB103)</f>
        <v/>
      </c>
    </row>
    <row r="103" spans="1:4" x14ac:dyDescent="0.3">
      <c r="A103" s="15" t="str">
        <f>IF([1]攻守數據!Y104 = "", "", [1]攻守數據!Y104)</f>
        <v/>
      </c>
      <c r="B103" s="15" t="str">
        <f>IF([1]攻守數據!Z104 = "", "", [1]攻守數據!Z104)</f>
        <v/>
      </c>
      <c r="C103" s="15" t="str">
        <f>IF([1]攻守數據!AA104 = "", "", [1]攻守數據!AA104)</f>
        <v/>
      </c>
      <c r="D103" s="15" t="str">
        <f>IF([1]攻守數據!AB104 = "", "", [1]攻守數據!AB104)</f>
        <v/>
      </c>
    </row>
    <row r="104" spans="1:4" x14ac:dyDescent="0.3">
      <c r="A104" s="15" t="str">
        <f>IF([1]攻守數據!Y105 = "", "", [1]攻守數據!Y105)</f>
        <v/>
      </c>
      <c r="B104" s="15" t="str">
        <f>IF([1]攻守數據!Z105 = "", "", [1]攻守數據!Z105)</f>
        <v/>
      </c>
      <c r="C104" s="15" t="str">
        <f>IF([1]攻守數據!AA105 = "", "", [1]攻守數據!AA105)</f>
        <v/>
      </c>
      <c r="D104" s="15" t="str">
        <f>IF([1]攻守數據!AB105 = "", "", [1]攻守數據!AB105)</f>
        <v/>
      </c>
    </row>
    <row r="105" spans="1:4" x14ac:dyDescent="0.3">
      <c r="A105" s="15" t="str">
        <f>IF([1]攻守數據!Y106 = "", "", [1]攻守數據!Y106)</f>
        <v/>
      </c>
      <c r="B105" s="15" t="str">
        <f>IF([1]攻守數據!Z106 = "", "", [1]攻守數據!Z106)</f>
        <v/>
      </c>
      <c r="C105" s="15" t="str">
        <f>IF([1]攻守數據!AA106 = "", "", [1]攻守數據!AA106)</f>
        <v/>
      </c>
      <c r="D105" s="15" t="str">
        <f>IF([1]攻守數據!AB106 = "", "", [1]攻守數據!AB106)</f>
        <v/>
      </c>
    </row>
    <row r="106" spans="1:4" x14ac:dyDescent="0.3">
      <c r="A106" s="15" t="str">
        <f>IF([1]攻守數據!Y107 = "", "", [1]攻守數據!Y107)</f>
        <v/>
      </c>
      <c r="B106" s="15" t="str">
        <f>IF([1]攻守數據!Z107 = "", "", [1]攻守數據!Z107)</f>
        <v/>
      </c>
      <c r="C106" s="15" t="str">
        <f>IF([1]攻守數據!AA107 = "", "", [1]攻守數據!AA107)</f>
        <v/>
      </c>
      <c r="D106" s="15" t="str">
        <f>IF([1]攻守數據!AB107 = "", "", [1]攻守數據!AB107)</f>
        <v/>
      </c>
    </row>
    <row r="107" spans="1:4" x14ac:dyDescent="0.3">
      <c r="A107" s="15" t="str">
        <f>IF([1]攻守數據!Y108 = "", "", [1]攻守數據!Y108)</f>
        <v/>
      </c>
      <c r="B107" s="15" t="str">
        <f>IF([1]攻守數據!Z108 = "", "", [1]攻守數據!Z108)</f>
        <v/>
      </c>
      <c r="C107" s="15" t="str">
        <f>IF([1]攻守數據!AA108 = "", "", [1]攻守數據!AA108)</f>
        <v/>
      </c>
      <c r="D107" s="15" t="str">
        <f>IF([1]攻守數據!AB108 = "", "", [1]攻守數據!AB108)</f>
        <v/>
      </c>
    </row>
    <row r="108" spans="1:4" x14ac:dyDescent="0.3">
      <c r="A108" s="15" t="str">
        <f>IF([1]攻守數據!Y109 = "", "", [1]攻守數據!Y109)</f>
        <v/>
      </c>
      <c r="B108" s="15" t="str">
        <f>IF([1]攻守數據!Z109 = "", "", [1]攻守數據!Z109)</f>
        <v/>
      </c>
      <c r="C108" s="15" t="str">
        <f>IF([1]攻守數據!AA109 = "", "", [1]攻守數據!AA109)</f>
        <v/>
      </c>
      <c r="D108" s="15" t="str">
        <f>IF([1]攻守數據!AB109 = "", "", [1]攻守數據!AB109)</f>
        <v/>
      </c>
    </row>
    <row r="109" spans="1:4" x14ac:dyDescent="0.3">
      <c r="A109" s="15" t="str">
        <f>IF([1]攻守數據!Y110 = "", "", [1]攻守數據!Y110)</f>
        <v/>
      </c>
      <c r="B109" s="15" t="str">
        <f>IF([1]攻守數據!Z110 = "", "", [1]攻守數據!Z110)</f>
        <v/>
      </c>
      <c r="C109" s="15" t="str">
        <f>IF([1]攻守數據!AA110 = "", "", [1]攻守數據!AA110)</f>
        <v/>
      </c>
      <c r="D109" s="15" t="str">
        <f>IF([1]攻守數據!AB110 = "", "", [1]攻守數據!AB110)</f>
        <v/>
      </c>
    </row>
    <row r="110" spans="1:4" x14ac:dyDescent="0.3">
      <c r="A110" s="15" t="str">
        <f>IF([1]攻守數據!Y111 = "", "", [1]攻守數據!Y111)</f>
        <v/>
      </c>
      <c r="B110" s="15" t="str">
        <f>IF([1]攻守數據!Z111 = "", "", [1]攻守數據!Z111)</f>
        <v/>
      </c>
      <c r="C110" s="15" t="str">
        <f>IF([1]攻守數據!AA111 = "", "", [1]攻守數據!AA111)</f>
        <v/>
      </c>
      <c r="D110" s="15" t="str">
        <f>IF([1]攻守數據!AB111 = "", "", [1]攻守數據!AB111)</f>
        <v/>
      </c>
    </row>
    <row r="111" spans="1:4" x14ac:dyDescent="0.3">
      <c r="A111" s="15" t="str">
        <f>IF([1]攻守數據!Y112 = "", "", [1]攻守數據!Y112)</f>
        <v/>
      </c>
      <c r="B111" s="15" t="str">
        <f>IF([1]攻守數據!Z112 = "", "", [1]攻守數據!Z112)</f>
        <v/>
      </c>
      <c r="C111" s="15" t="str">
        <f>IF([1]攻守數據!AA112 = "", "", [1]攻守數據!AA112)</f>
        <v/>
      </c>
      <c r="D111" s="15" t="str">
        <f>IF([1]攻守數據!AB112 = "", "", [1]攻守數據!AB112)</f>
        <v/>
      </c>
    </row>
    <row r="112" spans="1:4" x14ac:dyDescent="0.3">
      <c r="A112" s="15" t="str">
        <f>IF([1]攻守數據!Y113 = "", "", [1]攻守數據!Y113)</f>
        <v/>
      </c>
      <c r="B112" s="15" t="str">
        <f>IF([1]攻守數據!Z113 = "", "", [1]攻守數據!Z113)</f>
        <v/>
      </c>
      <c r="C112" s="15" t="str">
        <f>IF([1]攻守數據!AA113 = "", "", [1]攻守數據!AA113)</f>
        <v/>
      </c>
      <c r="D112" s="15" t="str">
        <f>IF([1]攻守數據!AB113 = "", "", [1]攻守數據!AB113)</f>
        <v/>
      </c>
    </row>
    <row r="113" spans="1:4" x14ac:dyDescent="0.3">
      <c r="A113" s="15" t="str">
        <f>IF([1]攻守數據!Y114 = "", "", [1]攻守數據!Y114)</f>
        <v/>
      </c>
      <c r="B113" s="15" t="str">
        <f>IF([1]攻守數據!Z114 = "", "", [1]攻守數據!Z114)</f>
        <v/>
      </c>
      <c r="C113" s="15" t="str">
        <f>IF([1]攻守數據!AA114 = "", "", [1]攻守數據!AA114)</f>
        <v/>
      </c>
      <c r="D113" s="15" t="str">
        <f>IF([1]攻守數據!AB114 = "", "", [1]攻守數據!AB114)</f>
        <v/>
      </c>
    </row>
    <row r="114" spans="1:4" x14ac:dyDescent="0.3">
      <c r="A114" s="15" t="str">
        <f>IF([1]攻守數據!Y115 = "", "", [1]攻守數據!Y115)</f>
        <v/>
      </c>
      <c r="B114" s="15" t="str">
        <f>IF([1]攻守數據!Z115 = "", "", [1]攻守數據!Z115)</f>
        <v/>
      </c>
      <c r="C114" s="15" t="str">
        <f>IF([1]攻守數據!AA115 = "", "", [1]攻守數據!AA115)</f>
        <v/>
      </c>
      <c r="D114" s="15" t="str">
        <f>IF([1]攻守數據!AB115 = "", "", [1]攻守數據!AB115)</f>
        <v/>
      </c>
    </row>
    <row r="115" spans="1:4" x14ac:dyDescent="0.3">
      <c r="A115" s="15" t="str">
        <f>IF([1]攻守數據!Y116 = "", "", [1]攻守數據!Y116)</f>
        <v/>
      </c>
      <c r="B115" s="15" t="str">
        <f>IF([1]攻守數據!Z116 = "", "", [1]攻守數據!Z116)</f>
        <v/>
      </c>
      <c r="C115" s="15" t="str">
        <f>IF([1]攻守數據!AA116 = "", "", [1]攻守數據!AA116)</f>
        <v/>
      </c>
      <c r="D115" s="15" t="str">
        <f>IF([1]攻守數據!AB116 = "", "", [1]攻守數據!AB116)</f>
        <v/>
      </c>
    </row>
    <row r="116" spans="1:4" x14ac:dyDescent="0.3">
      <c r="A116" s="15" t="str">
        <f>IF([1]攻守數據!Y117 = "", "", [1]攻守數據!Y117)</f>
        <v/>
      </c>
      <c r="B116" s="15" t="str">
        <f>IF([1]攻守數據!Z117 = "", "", [1]攻守數據!Z117)</f>
        <v/>
      </c>
      <c r="C116" s="15" t="str">
        <f>IF([1]攻守數據!AA117 = "", "", [1]攻守數據!AA117)</f>
        <v/>
      </c>
      <c r="D116" s="15" t="str">
        <f>IF([1]攻守數據!AB117 = "", "", [1]攻守數據!AB117)</f>
        <v/>
      </c>
    </row>
    <row r="117" spans="1:4" x14ac:dyDescent="0.3">
      <c r="A117" s="15" t="str">
        <f>IF([1]攻守數據!Y118 = "", "", [1]攻守數據!Y118)</f>
        <v/>
      </c>
      <c r="B117" s="15" t="str">
        <f>IF([1]攻守數據!Z118 = "", "", [1]攻守數據!Z118)</f>
        <v/>
      </c>
      <c r="C117" s="15" t="str">
        <f>IF([1]攻守數據!AA118 = "", "", [1]攻守數據!AA118)</f>
        <v/>
      </c>
      <c r="D117" s="15" t="str">
        <f>IF([1]攻守數據!AB118 = "", "", [1]攻守數據!AB118)</f>
        <v/>
      </c>
    </row>
    <row r="118" spans="1:4" x14ac:dyDescent="0.3">
      <c r="A118" s="15" t="str">
        <f>IF([1]攻守數據!Y119 = "", "", [1]攻守數據!Y119)</f>
        <v/>
      </c>
      <c r="B118" s="15" t="str">
        <f>IF([1]攻守數據!Z119 = "", "", [1]攻守數據!Z119)</f>
        <v/>
      </c>
      <c r="C118" s="15" t="str">
        <f>IF([1]攻守數據!AA119 = "", "", [1]攻守數據!AA119)</f>
        <v/>
      </c>
      <c r="D118" s="15" t="str">
        <f>IF([1]攻守數據!AB119 = "", "", [1]攻守數據!AB119)</f>
        <v/>
      </c>
    </row>
    <row r="119" spans="1:4" x14ac:dyDescent="0.3">
      <c r="A119" s="15" t="str">
        <f>IF([1]攻守數據!Y120 = "", "", [1]攻守數據!Y120)</f>
        <v/>
      </c>
      <c r="B119" s="15" t="str">
        <f>IF([1]攻守數據!Z120 = "", "", [1]攻守數據!Z120)</f>
        <v/>
      </c>
      <c r="C119" s="15" t="str">
        <f>IF([1]攻守數據!AA120 = "", "", [1]攻守數據!AA120)</f>
        <v/>
      </c>
      <c r="D119" s="15" t="str">
        <f>IF([1]攻守數據!AB120 = "", "", [1]攻守數據!AB120)</f>
        <v/>
      </c>
    </row>
    <row r="120" spans="1:4" x14ac:dyDescent="0.3">
      <c r="A120" s="15" t="str">
        <f>IF([1]攻守數據!Y121 = "", "", [1]攻守數據!Y121)</f>
        <v/>
      </c>
      <c r="B120" s="15" t="str">
        <f>IF([1]攻守數據!Z121 = "", "", [1]攻守數據!Z121)</f>
        <v/>
      </c>
      <c r="C120" s="15" t="str">
        <f>IF([1]攻守數據!AA121 = "", "", [1]攻守數據!AA121)</f>
        <v/>
      </c>
      <c r="D120" s="15" t="str">
        <f>IF([1]攻守數據!AB121 = "", "", [1]攻守數據!AB121)</f>
        <v/>
      </c>
    </row>
    <row r="121" spans="1:4" x14ac:dyDescent="0.3">
      <c r="A121" s="15" t="str">
        <f>IF([1]攻守數據!Y122 = "", "", [1]攻守數據!Y122)</f>
        <v/>
      </c>
      <c r="B121" s="15" t="str">
        <f>IF([1]攻守數據!Z122 = "", "", [1]攻守數據!Z122)</f>
        <v/>
      </c>
      <c r="C121" s="15" t="str">
        <f>IF([1]攻守數據!AA122 = "", "", [1]攻守數據!AA122)</f>
        <v/>
      </c>
      <c r="D121" s="15" t="str">
        <f>IF([1]攻守數據!AB122 = "", "", [1]攻守數據!AB122)</f>
        <v/>
      </c>
    </row>
    <row r="122" spans="1:4" x14ac:dyDescent="0.3">
      <c r="A122" s="15" t="str">
        <f>IF([1]攻守數據!Y123 = "", "", [1]攻守數據!Y123)</f>
        <v/>
      </c>
      <c r="B122" s="15" t="str">
        <f>IF([1]攻守數據!Z123 = "", "", [1]攻守數據!Z123)</f>
        <v/>
      </c>
      <c r="C122" s="15" t="str">
        <f>IF([1]攻守數據!AA123 = "", "", [1]攻守數據!AA123)</f>
        <v/>
      </c>
      <c r="D122" s="15" t="str">
        <f>IF([1]攻守數據!AB123 = "", "", [1]攻守數據!AB123)</f>
        <v/>
      </c>
    </row>
    <row r="123" spans="1:4" x14ac:dyDescent="0.3">
      <c r="A123" s="15" t="str">
        <f>IF([1]攻守數據!Y124 = "", "", [1]攻守數據!Y124)</f>
        <v/>
      </c>
      <c r="B123" s="15" t="str">
        <f>IF([1]攻守數據!Z124 = "", "", [1]攻守數據!Z124)</f>
        <v/>
      </c>
      <c r="C123" s="15" t="str">
        <f>IF([1]攻守數據!AA124 = "", "", [1]攻守數據!AA124)</f>
        <v/>
      </c>
      <c r="D123" s="15" t="str">
        <f>IF([1]攻守數據!AB124 = "", "", [1]攻守數據!AB124)</f>
        <v/>
      </c>
    </row>
    <row r="124" spans="1:4" x14ac:dyDescent="0.3">
      <c r="A124" s="15" t="str">
        <f>IF([1]攻守數據!Y125 = "", "", [1]攻守數據!Y125)</f>
        <v/>
      </c>
      <c r="B124" s="15" t="str">
        <f>IF([1]攻守數據!Z125 = "", "", [1]攻守數據!Z125)</f>
        <v/>
      </c>
      <c r="C124" s="15" t="str">
        <f>IF([1]攻守數據!AA125 = "", "", [1]攻守數據!AA125)</f>
        <v/>
      </c>
      <c r="D124" s="15" t="str">
        <f>IF([1]攻守數據!AB125 = "", "", [1]攻守數據!AB125)</f>
        <v/>
      </c>
    </row>
    <row r="125" spans="1:4" x14ac:dyDescent="0.3">
      <c r="A125" s="15" t="str">
        <f>IF([1]攻守數據!Y126 = "", "", [1]攻守數據!Y126)</f>
        <v/>
      </c>
      <c r="B125" s="15" t="str">
        <f>IF([1]攻守數據!Z126 = "", "", [1]攻守數據!Z126)</f>
        <v/>
      </c>
      <c r="C125" s="15" t="str">
        <f>IF([1]攻守數據!AA126 = "", "", [1]攻守數據!AA126)</f>
        <v/>
      </c>
      <c r="D125" s="15" t="str">
        <f>IF([1]攻守數據!AB126 = "", "", [1]攻守數據!AB126)</f>
        <v/>
      </c>
    </row>
    <row r="126" spans="1:4" x14ac:dyDescent="0.3">
      <c r="A126" s="15" t="str">
        <f>IF([1]攻守數據!Y127 = "", "", [1]攻守數據!Y127)</f>
        <v/>
      </c>
      <c r="B126" s="15" t="str">
        <f>IF([1]攻守數據!Z127 = "", "", [1]攻守數據!Z127)</f>
        <v/>
      </c>
      <c r="C126" s="15" t="str">
        <f>IF([1]攻守數據!AA127 = "", "", [1]攻守數據!AA127)</f>
        <v/>
      </c>
      <c r="D126" s="15" t="str">
        <f>IF([1]攻守數據!AB127 = "", "", [1]攻守數據!AB127)</f>
        <v/>
      </c>
    </row>
    <row r="127" spans="1:4" x14ac:dyDescent="0.3">
      <c r="A127" s="15" t="str">
        <f>IF([1]攻守數據!Y128 = "", "", [1]攻守數據!Y128)</f>
        <v/>
      </c>
      <c r="B127" s="15" t="str">
        <f>IF([1]攻守數據!Z128 = "", "", [1]攻守數據!Z128)</f>
        <v/>
      </c>
      <c r="C127" s="15" t="str">
        <f>IF([1]攻守數據!AA128 = "", "", [1]攻守數據!AA128)</f>
        <v/>
      </c>
      <c r="D127" s="15" t="str">
        <f>IF([1]攻守數據!AB128 = "", "", [1]攻守數據!AB128)</f>
        <v/>
      </c>
    </row>
    <row r="128" spans="1:4" x14ac:dyDescent="0.3">
      <c r="A128" s="15" t="str">
        <f>IF([1]攻守數據!Y129 = "", "", [1]攻守數據!Y129)</f>
        <v/>
      </c>
      <c r="B128" s="15" t="str">
        <f>IF([1]攻守數據!Z129 = "", "", [1]攻守數據!Z129)</f>
        <v/>
      </c>
      <c r="C128" s="15" t="str">
        <f>IF([1]攻守數據!AA129 = "", "", [1]攻守數據!AA129)</f>
        <v/>
      </c>
      <c r="D128" s="15" t="str">
        <f>IF([1]攻守數據!AB129 = "", "", [1]攻守數據!AB129)</f>
        <v/>
      </c>
    </row>
    <row r="129" spans="1:4" x14ac:dyDescent="0.3">
      <c r="A129" s="15" t="str">
        <f>IF([1]攻守數據!Y130 = "", "", [1]攻守數據!Y130)</f>
        <v/>
      </c>
      <c r="B129" s="15" t="str">
        <f>IF([1]攻守數據!Z130 = "", "", [1]攻守數據!Z130)</f>
        <v/>
      </c>
      <c r="C129" s="15" t="str">
        <f>IF([1]攻守數據!AA130 = "", "", [1]攻守數據!AA130)</f>
        <v/>
      </c>
      <c r="D129" s="15" t="str">
        <f>IF([1]攻守數據!AB130 = "", "", [1]攻守數據!AB130)</f>
        <v/>
      </c>
    </row>
    <row r="130" spans="1:4" x14ac:dyDescent="0.3">
      <c r="A130" s="15" t="str">
        <f>IF([1]攻守數據!Y131 = "", "", [1]攻守數據!Y131)</f>
        <v/>
      </c>
      <c r="B130" s="15" t="str">
        <f>IF([1]攻守數據!Z131 = "", "", [1]攻守數據!Z131)</f>
        <v/>
      </c>
      <c r="C130" s="15" t="str">
        <f>IF([1]攻守數據!AA131 = "", "", [1]攻守數據!AA131)</f>
        <v/>
      </c>
      <c r="D130" s="15" t="str">
        <f>IF([1]攻守數據!AB131 = "", "", [1]攻守數據!AB131)</f>
        <v/>
      </c>
    </row>
    <row r="131" spans="1:4" x14ac:dyDescent="0.3">
      <c r="A131" s="15" t="str">
        <f>IF([1]攻守數據!Y132 = "", "", [1]攻守數據!Y132)</f>
        <v/>
      </c>
      <c r="B131" s="15" t="str">
        <f>IF([1]攻守數據!Z132 = "", "", [1]攻守數據!Z132)</f>
        <v/>
      </c>
      <c r="C131" s="15" t="str">
        <f>IF([1]攻守數據!AA132 = "", "", [1]攻守數據!AA132)</f>
        <v/>
      </c>
      <c r="D131" s="15" t="str">
        <f>IF([1]攻守數據!AB132 = "", "", [1]攻守數據!AB132)</f>
        <v/>
      </c>
    </row>
    <row r="132" spans="1:4" x14ac:dyDescent="0.3">
      <c r="A132" s="15" t="str">
        <f>IF([1]攻守數據!Y133 = "", "", [1]攻守數據!Y133)</f>
        <v/>
      </c>
      <c r="B132" s="15" t="str">
        <f>IF([1]攻守數據!Z133 = "", "", [1]攻守數據!Z133)</f>
        <v/>
      </c>
      <c r="C132" s="15" t="str">
        <f>IF([1]攻守數據!AA133 = "", "", [1]攻守數據!AA133)</f>
        <v/>
      </c>
      <c r="D132" s="15" t="str">
        <f>IF([1]攻守數據!AB133 = "", "", [1]攻守數據!AB133)</f>
        <v/>
      </c>
    </row>
    <row r="133" spans="1:4" x14ac:dyDescent="0.3">
      <c r="A133" s="15" t="str">
        <f>IF([1]攻守數據!Y134 = "", "", [1]攻守數據!Y134)</f>
        <v/>
      </c>
      <c r="B133" s="15" t="str">
        <f>IF([1]攻守數據!Z134 = "", "", [1]攻守數據!Z134)</f>
        <v/>
      </c>
      <c r="C133" s="15" t="str">
        <f>IF([1]攻守數據!AA134 = "", "", [1]攻守數據!AA134)</f>
        <v/>
      </c>
      <c r="D133" s="15" t="str">
        <f>IF([1]攻守數據!AB134 = "", "", [1]攻守數據!AB134)</f>
        <v/>
      </c>
    </row>
    <row r="134" spans="1:4" x14ac:dyDescent="0.3">
      <c r="A134" s="15" t="str">
        <f>IF([1]攻守數據!Y135 = "", "", [1]攻守數據!Y135)</f>
        <v/>
      </c>
      <c r="B134" s="15" t="str">
        <f>IF([1]攻守數據!Z135 = "", "", [1]攻守數據!Z135)</f>
        <v/>
      </c>
      <c r="C134" s="15" t="str">
        <f>IF([1]攻守數據!AA135 = "", "", [1]攻守數據!AA135)</f>
        <v/>
      </c>
      <c r="D134" s="15" t="str">
        <f>IF([1]攻守數據!AB135 = "", "", [1]攻守數據!AB135)</f>
        <v/>
      </c>
    </row>
    <row r="135" spans="1:4" x14ac:dyDescent="0.3">
      <c r="A135" s="15" t="str">
        <f>IF([1]攻守數據!Y136 = "", "", [1]攻守數據!Y136)</f>
        <v/>
      </c>
      <c r="B135" s="15" t="str">
        <f>IF([1]攻守數據!Z136 = "", "", [1]攻守數據!Z136)</f>
        <v/>
      </c>
      <c r="C135" s="15" t="str">
        <f>IF([1]攻守數據!AA136 = "", "", [1]攻守數據!AA136)</f>
        <v/>
      </c>
      <c r="D135" s="15" t="str">
        <f>IF([1]攻守數據!AB136 = "", "", [1]攻守數據!AB136)</f>
        <v/>
      </c>
    </row>
    <row r="136" spans="1:4" x14ac:dyDescent="0.3">
      <c r="A136" s="15" t="str">
        <f>IF([1]攻守數據!Y137 = "", "", [1]攻守數據!Y137)</f>
        <v/>
      </c>
      <c r="B136" s="15" t="str">
        <f>IF([1]攻守數據!Z137 = "", "", [1]攻守數據!Z137)</f>
        <v/>
      </c>
      <c r="C136" s="15" t="str">
        <f>IF([1]攻守數據!AA137 = "", "", [1]攻守數據!AA137)</f>
        <v/>
      </c>
      <c r="D136" s="15" t="str">
        <f>IF([1]攻守數據!AB137 = "", "", [1]攻守數據!AB137)</f>
        <v/>
      </c>
    </row>
    <row r="137" spans="1:4" x14ac:dyDescent="0.3">
      <c r="A137" s="15" t="str">
        <f>IF([1]攻守數據!Y138 = "", "", [1]攻守數據!Y138)</f>
        <v/>
      </c>
      <c r="B137" s="15" t="str">
        <f>IF([1]攻守數據!Z138 = "", "", [1]攻守數據!Z138)</f>
        <v/>
      </c>
      <c r="C137" s="15" t="str">
        <f>IF([1]攻守數據!AA138 = "", "", [1]攻守數據!AA138)</f>
        <v/>
      </c>
      <c r="D137" s="15" t="str">
        <f>IF([1]攻守數據!AB138 = "", "", [1]攻守數據!AB138)</f>
        <v/>
      </c>
    </row>
    <row r="138" spans="1:4" x14ac:dyDescent="0.3">
      <c r="A138" s="15" t="str">
        <f>IF([1]攻守數據!Y139 = "", "", [1]攻守數據!Y139)</f>
        <v/>
      </c>
      <c r="B138" s="15" t="str">
        <f>IF([1]攻守數據!Z139 = "", "", [1]攻守數據!Z139)</f>
        <v/>
      </c>
      <c r="C138" s="15" t="str">
        <f>IF([1]攻守數據!AA139 = "", "", [1]攻守數據!AA139)</f>
        <v/>
      </c>
      <c r="D138" s="15" t="str">
        <f>IF([1]攻守數據!AB139 = "", "", [1]攻守數據!AB139)</f>
        <v/>
      </c>
    </row>
    <row r="139" spans="1:4" x14ac:dyDescent="0.3">
      <c r="A139" s="15" t="str">
        <f>IF([1]攻守數據!Y140 = "", "", [1]攻守數據!Y140)</f>
        <v/>
      </c>
      <c r="B139" s="15" t="str">
        <f>IF([1]攻守數據!Z140 = "", "", [1]攻守數據!Z140)</f>
        <v/>
      </c>
      <c r="C139" s="15" t="str">
        <f>IF([1]攻守數據!AA140 = "", "", [1]攻守數據!AA140)</f>
        <v/>
      </c>
      <c r="D139" s="15" t="str">
        <f>IF([1]攻守數據!AB140 = "", "", [1]攻守數據!AB140)</f>
        <v/>
      </c>
    </row>
    <row r="140" spans="1:4" x14ac:dyDescent="0.3">
      <c r="A140" s="15" t="str">
        <f>IF([1]攻守數據!Y141 = "", "", [1]攻守數據!Y141)</f>
        <v/>
      </c>
      <c r="B140" s="15" t="str">
        <f>IF([1]攻守數據!Z141 = "", "", [1]攻守數據!Z141)</f>
        <v/>
      </c>
      <c r="C140" s="15" t="str">
        <f>IF([1]攻守數據!AA141 = "", "", [1]攻守數據!AA141)</f>
        <v/>
      </c>
      <c r="D140" s="15" t="str">
        <f>IF([1]攻守數據!AB141 = "", "", [1]攻守數據!AB141)</f>
        <v/>
      </c>
    </row>
    <row r="141" spans="1:4" x14ac:dyDescent="0.3">
      <c r="A141" s="15" t="str">
        <f>IF([1]攻守數據!Y142 = "", "", [1]攻守數據!Y142)</f>
        <v/>
      </c>
      <c r="B141" s="15" t="str">
        <f>IF([1]攻守數據!Z142 = "", "", [1]攻守數據!Z142)</f>
        <v/>
      </c>
      <c r="C141" s="15" t="str">
        <f>IF([1]攻守數據!AA142 = "", "", [1]攻守數據!AA142)</f>
        <v/>
      </c>
      <c r="D141" s="15" t="str">
        <f>IF([1]攻守數據!AB142 = "", "", [1]攻守數據!AB142)</f>
        <v/>
      </c>
    </row>
    <row r="142" spans="1:4" x14ac:dyDescent="0.3">
      <c r="A142" s="15" t="str">
        <f>IF([1]攻守數據!Y143 = "", "", [1]攻守數據!Y143)</f>
        <v/>
      </c>
      <c r="B142" s="15" t="str">
        <f>IF([1]攻守數據!Z143 = "", "", [1]攻守數據!Z143)</f>
        <v/>
      </c>
      <c r="C142" s="15" t="str">
        <f>IF([1]攻守數據!AA143 = "", "", [1]攻守數據!AA143)</f>
        <v/>
      </c>
      <c r="D142" s="15" t="str">
        <f>IF([1]攻守數據!AB143 = "", "", [1]攻守數據!AB143)</f>
        <v/>
      </c>
    </row>
    <row r="143" spans="1:4" x14ac:dyDescent="0.3">
      <c r="A143" s="15" t="str">
        <f>IF([1]攻守數據!Y144 = "", "", [1]攻守數據!Y144)</f>
        <v/>
      </c>
      <c r="B143" s="15" t="str">
        <f>IF([1]攻守數據!Z144 = "", "", [1]攻守數據!Z144)</f>
        <v/>
      </c>
      <c r="C143" s="15" t="str">
        <f>IF([1]攻守數據!AA144 = "", "", [1]攻守數據!AA144)</f>
        <v/>
      </c>
      <c r="D143" s="15" t="str">
        <f>IF([1]攻守數據!AB144 = "", "", [1]攻守數據!AB144)</f>
        <v/>
      </c>
    </row>
    <row r="144" spans="1:4" x14ac:dyDescent="0.3">
      <c r="A144" s="15" t="str">
        <f>IF([1]攻守數據!Y145 = "", "", [1]攻守數據!Y145)</f>
        <v/>
      </c>
      <c r="B144" s="15" t="str">
        <f>IF([1]攻守數據!Z145 = "", "", [1]攻守數據!Z145)</f>
        <v/>
      </c>
      <c r="C144" s="15" t="str">
        <f>IF([1]攻守數據!AA145 = "", "", [1]攻守數據!AA145)</f>
        <v/>
      </c>
      <c r="D144" s="15" t="str">
        <f>IF([1]攻守數據!AB145 = "", "", [1]攻守數據!AB145)</f>
        <v/>
      </c>
    </row>
    <row r="145" spans="1:4" x14ac:dyDescent="0.3">
      <c r="A145" s="15" t="str">
        <f>IF([1]攻守數據!Y146 = "", "", [1]攻守數據!Y146)</f>
        <v/>
      </c>
      <c r="B145" s="15" t="str">
        <f>IF([1]攻守數據!Z146 = "", "", [1]攻守數據!Z146)</f>
        <v/>
      </c>
      <c r="C145" s="15" t="str">
        <f>IF([1]攻守數據!AA146 = "", "", [1]攻守數據!AA146)</f>
        <v/>
      </c>
      <c r="D145" s="15" t="str">
        <f>IF([1]攻守數據!AB146 = "", "", [1]攻守數據!AB146)</f>
        <v/>
      </c>
    </row>
    <row r="146" spans="1:4" x14ac:dyDescent="0.3">
      <c r="A146" s="15" t="str">
        <f>IF([1]攻守數據!Y147 = "", "", [1]攻守數據!Y147)</f>
        <v/>
      </c>
      <c r="B146" s="15" t="str">
        <f>IF([1]攻守數據!Z147 = "", "", [1]攻守數據!Z147)</f>
        <v/>
      </c>
      <c r="C146" s="15" t="str">
        <f>IF([1]攻守數據!AA147 = "", "", [1]攻守數據!AA147)</f>
        <v/>
      </c>
      <c r="D146" s="15" t="str">
        <f>IF([1]攻守數據!AB147 = "", "", [1]攻守數據!AB147)</f>
        <v/>
      </c>
    </row>
    <row r="147" spans="1:4" x14ac:dyDescent="0.3">
      <c r="A147" s="15" t="str">
        <f>IF([1]攻守數據!Y148 = "", "", [1]攻守數據!Y148)</f>
        <v/>
      </c>
      <c r="B147" s="15" t="str">
        <f>IF([1]攻守數據!Z148 = "", "", [1]攻守數據!Z148)</f>
        <v/>
      </c>
      <c r="C147" s="15" t="str">
        <f>IF([1]攻守數據!AA148 = "", "", [1]攻守數據!AA148)</f>
        <v/>
      </c>
      <c r="D147" s="15" t="str">
        <f>IF([1]攻守數據!AB148 = "", "", [1]攻守數據!AB148)</f>
        <v/>
      </c>
    </row>
    <row r="148" spans="1:4" x14ac:dyDescent="0.3">
      <c r="A148" s="15" t="str">
        <f>IF([1]攻守數據!Y149 = "", "", [1]攻守數據!Y149)</f>
        <v/>
      </c>
      <c r="B148" s="15" t="str">
        <f>IF([1]攻守數據!Z149 = "", "", [1]攻守數據!Z149)</f>
        <v/>
      </c>
      <c r="C148" s="15" t="str">
        <f>IF([1]攻守數據!AA149 = "", "", [1]攻守數據!AA149)</f>
        <v/>
      </c>
      <c r="D148" s="15" t="str">
        <f>IF([1]攻守數據!AB149 = "", "", [1]攻守數據!AB149)</f>
        <v/>
      </c>
    </row>
    <row r="149" spans="1:4" x14ac:dyDescent="0.3">
      <c r="A149" s="15" t="str">
        <f>IF([1]攻守數據!Y150 = "", "", [1]攻守數據!Y150)</f>
        <v/>
      </c>
      <c r="B149" s="15" t="str">
        <f>IF([1]攻守數據!Z150 = "", "", [1]攻守數據!Z150)</f>
        <v/>
      </c>
      <c r="C149" s="15" t="str">
        <f>IF([1]攻守數據!AA150 = "", "", [1]攻守數據!AA150)</f>
        <v/>
      </c>
      <c r="D149" s="15" t="str">
        <f>IF([1]攻守數據!AB150 = "", "", [1]攻守數據!AB150)</f>
        <v/>
      </c>
    </row>
    <row r="150" spans="1:4" x14ac:dyDescent="0.3">
      <c r="A150" s="15" t="str">
        <f>IF([1]攻守數據!Y151 = "", "", [1]攻守數據!Y151)</f>
        <v/>
      </c>
      <c r="B150" s="15" t="str">
        <f>IF([1]攻守數據!Z151 = "", "", [1]攻守數據!Z151)</f>
        <v/>
      </c>
      <c r="C150" s="15" t="str">
        <f>IF([1]攻守數據!AA151 = "", "", [1]攻守數據!AA151)</f>
        <v/>
      </c>
      <c r="D150" s="15" t="str">
        <f>IF([1]攻守數據!AB151 = "", "", [1]攻守數據!AB151)</f>
        <v/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游子寬</cp:lastModifiedBy>
  <dcterms:created xsi:type="dcterms:W3CDTF">2015-06-05T18:19:34Z</dcterms:created>
  <dcterms:modified xsi:type="dcterms:W3CDTF">2025-12-10T13:56:51Z</dcterms:modified>
</cp:coreProperties>
</file>