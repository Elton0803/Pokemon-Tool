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00.127.78.90\Elton\備分\寶可夢\Pokemon_App\"/>
    </mc:Choice>
  </mc:AlternateContent>
  <xr:revisionPtr revIDLastSave="0" documentId="13_ncr:1_{6CACA6E3-E55D-47CA-9398-1EC28F0AD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1" l="1"/>
  <c r="A98" i="1"/>
  <c r="B98" i="1"/>
  <c r="C100" i="1"/>
  <c r="D100" i="1"/>
  <c r="A96" i="1"/>
  <c r="B96" i="1"/>
  <c r="C96" i="1"/>
  <c r="D96" i="1"/>
  <c r="E96" i="1"/>
  <c r="A97" i="1"/>
  <c r="B97" i="1"/>
  <c r="C97" i="1"/>
  <c r="D97" i="1"/>
  <c r="C98" i="1"/>
  <c r="D98" i="1"/>
  <c r="E98" i="1"/>
  <c r="A99" i="1"/>
  <c r="B99" i="1"/>
  <c r="C99" i="1"/>
  <c r="D99" i="1"/>
  <c r="E99" i="1"/>
  <c r="A100" i="1"/>
  <c r="B100" i="1"/>
  <c r="E100" i="1"/>
  <c r="A101" i="1"/>
  <c r="B101" i="1"/>
  <c r="C101" i="1"/>
  <c r="D101" i="1"/>
  <c r="E101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E79" i="1"/>
  <c r="E80" i="1"/>
  <c r="E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B66" i="1"/>
  <c r="C66" i="1"/>
  <c r="A66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2" i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B1" i="1"/>
  <c r="C1" i="1"/>
  <c r="D1" i="1"/>
  <c r="A1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</calcChain>
</file>

<file path=xl/sharedStrings.xml><?xml version="1.0" encoding="utf-8"?>
<sst xmlns="http://schemas.openxmlformats.org/spreadsheetml/2006/main" count="39" uniqueCount="20">
  <si>
    <t>攻/守</t>
    <phoneticPr fontId="3" type="noConversion"/>
  </si>
  <si>
    <t>一般</t>
    <phoneticPr fontId="3" type="noConversion"/>
  </si>
  <si>
    <t>火</t>
    <phoneticPr fontId="3" type="noConversion"/>
  </si>
  <si>
    <t>格鬥</t>
    <phoneticPr fontId="3" type="noConversion"/>
  </si>
  <si>
    <t>水</t>
    <phoneticPr fontId="3" type="noConversion"/>
  </si>
  <si>
    <t>飛行</t>
    <phoneticPr fontId="3" type="noConversion"/>
  </si>
  <si>
    <t>草</t>
    <phoneticPr fontId="3" type="noConversion"/>
  </si>
  <si>
    <t>毒</t>
    <phoneticPr fontId="3" type="noConversion"/>
  </si>
  <si>
    <t>電</t>
    <phoneticPr fontId="3" type="noConversion"/>
  </si>
  <si>
    <t>地面</t>
    <phoneticPr fontId="3" type="noConversion"/>
  </si>
  <si>
    <t>超能力</t>
    <phoneticPr fontId="3" type="noConversion"/>
  </si>
  <si>
    <t>岩石</t>
    <phoneticPr fontId="3" type="noConversion"/>
  </si>
  <si>
    <t>冰</t>
    <phoneticPr fontId="3" type="noConversion"/>
  </si>
  <si>
    <t>蟲</t>
    <phoneticPr fontId="3" type="noConversion"/>
  </si>
  <si>
    <t>龍</t>
    <phoneticPr fontId="3" type="noConversion"/>
  </si>
  <si>
    <t>幽靈</t>
    <phoneticPr fontId="3" type="noConversion"/>
  </si>
  <si>
    <t>惡</t>
    <phoneticPr fontId="3" type="noConversion"/>
  </si>
  <si>
    <t>鋼</t>
    <phoneticPr fontId="3" type="noConversion"/>
  </si>
  <si>
    <t>妖精</t>
    <phoneticPr fontId="3" type="noConversion"/>
  </si>
  <si>
    <t>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</si>
</sst>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新細明體"/>
      <family val="2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5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23542;&#21487;&#22818;/&#33021;&#37327;&#40670;.xlsx" TargetMode="External"/><Relationship Id="rId2" Type="http://schemas.openxmlformats.org/officeDocument/2006/relationships/externalLinkPath" Target="file:///\\100.127.78.90\Elton\&#23542;&#21487;&#22818;\&#33021;&#37327;&#40670;.xlsx" TargetMode="External"/><Relationship Id="rId1" Type="http://schemas.openxmlformats.org/officeDocument/2006/relationships/externalLinkPath" Target="/&#23542;&#21487;&#22818;/&#33021;&#37327;&#406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攻守數據"/>
      <sheetName val="數據"/>
      <sheetName val="屬性克制表"/>
      <sheetName val="能量點"/>
      <sheetName val="寶可夢圖鑑"/>
      <sheetName val="天氣加成"/>
    </sheetNames>
    <sheetDataSet>
      <sheetData sheetId="0">
        <row r="2">
          <cell r="AG2" t="str">
            <v>寶可夢</v>
          </cell>
          <cell r="AH2" t="str">
            <v>屬性一</v>
          </cell>
          <cell r="AI2" t="str">
            <v>屬性二</v>
          </cell>
          <cell r="AJ2" t="str">
            <v>基礎防禦</v>
          </cell>
          <cell r="AK2" t="str">
            <v>開三盾</v>
          </cell>
        </row>
        <row r="3">
          <cell r="AG3" t="str">
            <v>幸福蛋</v>
          </cell>
          <cell r="AH3" t="str">
            <v>一般</v>
          </cell>
          <cell r="AI3" t="str">
            <v>無</v>
          </cell>
          <cell r="AJ3">
            <v>61.686</v>
          </cell>
          <cell r="AK3">
            <v>88.506</v>
          </cell>
        </row>
        <row r="4">
          <cell r="AG4" t="str">
            <v>藏瑪然特</v>
          </cell>
          <cell r="AH4" t="str">
            <v>鋼</v>
          </cell>
          <cell r="AI4" t="str">
            <v>格鬥</v>
          </cell>
          <cell r="AJ4">
            <v>58.25</v>
          </cell>
          <cell r="AK4">
            <v>103.73</v>
          </cell>
        </row>
        <row r="5">
          <cell r="AG5" t="str">
            <v>卡比獸</v>
          </cell>
          <cell r="AH5" t="str">
            <v>一般</v>
          </cell>
          <cell r="AI5" t="str">
            <v>無</v>
          </cell>
          <cell r="AJ5">
            <v>39.44</v>
          </cell>
          <cell r="AK5">
            <v>65.540000000000006</v>
          </cell>
        </row>
        <row r="6">
          <cell r="AG6" t="str">
            <v>水君</v>
          </cell>
          <cell r="AH6" t="str">
            <v>水</v>
          </cell>
          <cell r="AI6" t="str">
            <v>無</v>
          </cell>
          <cell r="AJ6">
            <v>37.421999999999997</v>
          </cell>
          <cell r="AK6">
            <v>73.061999999999998</v>
          </cell>
        </row>
        <row r="7">
          <cell r="AG7" t="str">
            <v>無極汰那</v>
          </cell>
          <cell r="AH7" t="str">
            <v>龍</v>
          </cell>
          <cell r="AI7" t="str">
            <v>毒</v>
          </cell>
          <cell r="AJ7">
            <v>38.701000000000001</v>
          </cell>
          <cell r="AK7">
            <v>69.120999999999995</v>
          </cell>
        </row>
        <row r="8">
          <cell r="AG8" t="str">
            <v>急凍鳥</v>
          </cell>
          <cell r="AH8" t="str">
            <v>冰</v>
          </cell>
          <cell r="AI8" t="str">
            <v>飛行</v>
          </cell>
          <cell r="AJ8">
            <v>34.65</v>
          </cell>
          <cell r="AK8">
            <v>70.290000000000006</v>
          </cell>
        </row>
        <row r="9">
          <cell r="AG9" t="str">
            <v>拉普拉斯</v>
          </cell>
          <cell r="AH9" t="str">
            <v>水</v>
          </cell>
          <cell r="AI9" t="str">
            <v>冰</v>
          </cell>
          <cell r="AJ9">
            <v>33.81</v>
          </cell>
          <cell r="AK9">
            <v>60.27</v>
          </cell>
        </row>
        <row r="10">
          <cell r="AG10" t="str">
            <v>拉帝亞斯</v>
          </cell>
          <cell r="AH10" t="str">
            <v>龍</v>
          </cell>
          <cell r="AI10" t="str">
            <v>超能力</v>
          </cell>
          <cell r="AJ10">
            <v>31.916</v>
          </cell>
          <cell r="AK10">
            <v>68.275999999999996</v>
          </cell>
        </row>
        <row r="11">
          <cell r="AG11" t="str">
            <v>蒼響</v>
          </cell>
          <cell r="AH11" t="str">
            <v>鋼</v>
          </cell>
          <cell r="AI11" t="str">
            <v>妖精</v>
          </cell>
          <cell r="AJ11">
            <v>36.848999999999997</v>
          </cell>
          <cell r="AK11">
            <v>75.188999999999993</v>
          </cell>
        </row>
        <row r="12">
          <cell r="AG12" t="str">
            <v>拉帝歐斯</v>
          </cell>
          <cell r="AH12" t="str">
            <v>龍</v>
          </cell>
          <cell r="AI12" t="str">
            <v>超能力</v>
          </cell>
          <cell r="AJ12">
            <v>28.64</v>
          </cell>
          <cell r="AK12">
            <v>60.86</v>
          </cell>
        </row>
        <row r="13">
          <cell r="AG13" t="str">
            <v>巨金怪</v>
          </cell>
          <cell r="AH13" t="str">
            <v>鋼</v>
          </cell>
          <cell r="AI13" t="str">
            <v>超能力</v>
          </cell>
          <cell r="AJ13">
            <v>30.428999999999998</v>
          </cell>
          <cell r="AK13">
            <v>64.448999999999998</v>
          </cell>
        </row>
        <row r="14">
          <cell r="AG14" t="str">
            <v>炎帝</v>
          </cell>
          <cell r="AH14" t="str">
            <v>火</v>
          </cell>
          <cell r="AI14" t="str">
            <v>無</v>
          </cell>
          <cell r="AJ14">
            <v>30.015000000000001</v>
          </cell>
          <cell r="AK14">
            <v>56.115000000000002</v>
          </cell>
        </row>
        <row r="15">
          <cell r="AG15" t="str">
            <v>鋼鎧鴉</v>
          </cell>
          <cell r="AH15" t="str">
            <v>鋼</v>
          </cell>
          <cell r="AI15" t="str">
            <v>飛行</v>
          </cell>
          <cell r="AJ15">
            <v>31.35</v>
          </cell>
          <cell r="AK15">
            <v>61.05</v>
          </cell>
        </row>
        <row r="16">
          <cell r="AG16" t="str">
            <v>幾何雪花</v>
          </cell>
          <cell r="AH16" t="str">
            <v>冰</v>
          </cell>
          <cell r="AI16" t="str">
            <v>無</v>
          </cell>
          <cell r="AJ16">
            <v>29.808</v>
          </cell>
          <cell r="AK16">
            <v>62.927999999999997</v>
          </cell>
        </row>
        <row r="17">
          <cell r="AG17" t="str">
            <v>藏飽栗鼠</v>
          </cell>
          <cell r="AH17" t="str">
            <v>一般</v>
          </cell>
          <cell r="AI17" t="str">
            <v>無</v>
          </cell>
          <cell r="AJ17">
            <v>29.295000000000002</v>
          </cell>
          <cell r="AK17">
            <v>53.594999999999999</v>
          </cell>
        </row>
        <row r="18">
          <cell r="AG18" t="str">
            <v>雷公</v>
          </cell>
          <cell r="AH18" t="str">
            <v>電</v>
          </cell>
          <cell r="AI18" t="str">
            <v>無</v>
          </cell>
          <cell r="AJ18">
            <v>29.05</v>
          </cell>
          <cell r="AK18">
            <v>58.93</v>
          </cell>
        </row>
        <row r="19">
          <cell r="AG19" t="str">
            <v>武道熊師(一)</v>
          </cell>
          <cell r="AH19" t="str">
            <v>格鬥</v>
          </cell>
          <cell r="AI19" t="str">
            <v>惡</v>
          </cell>
          <cell r="AJ19">
            <v>28.2</v>
          </cell>
          <cell r="AK19">
            <v>55.2</v>
          </cell>
        </row>
        <row r="20">
          <cell r="AG20" t="str">
            <v>武道熊師(連)</v>
          </cell>
          <cell r="AH20" t="str">
            <v>格鬥</v>
          </cell>
          <cell r="AI20" t="str">
            <v>水</v>
          </cell>
          <cell r="AJ20">
            <v>28.2</v>
          </cell>
          <cell r="AK20">
            <v>55.2</v>
          </cell>
        </row>
        <row r="21">
          <cell r="AG21" t="str">
            <v>水箭龜</v>
          </cell>
          <cell r="AH21" t="str">
            <v>水</v>
          </cell>
          <cell r="AI21" t="str">
            <v>無</v>
          </cell>
          <cell r="AJ21">
            <v>27.824999999999999</v>
          </cell>
          <cell r="AK21">
            <v>59.325000000000003</v>
          </cell>
        </row>
        <row r="22">
          <cell r="AG22" t="str">
            <v>閃電鳥</v>
          </cell>
          <cell r="AH22" t="str">
            <v>電</v>
          </cell>
          <cell r="AI22" t="str">
            <v>飛行</v>
          </cell>
          <cell r="AJ22">
            <v>27.65</v>
          </cell>
          <cell r="AK22">
            <v>56.09</v>
          </cell>
        </row>
        <row r="23">
          <cell r="AG23" t="str">
            <v>轟擂金剛猩</v>
          </cell>
          <cell r="AH23" t="str">
            <v>草</v>
          </cell>
          <cell r="AI23" t="str">
            <v>無</v>
          </cell>
          <cell r="AJ23">
            <v>28.86</v>
          </cell>
          <cell r="AK23">
            <v>55.5</v>
          </cell>
        </row>
        <row r="24">
          <cell r="AG24" t="str">
            <v>火焰鳥</v>
          </cell>
          <cell r="AH24" t="str">
            <v>火</v>
          </cell>
          <cell r="AI24" t="str">
            <v>飛行</v>
          </cell>
          <cell r="AJ24">
            <v>26.95</v>
          </cell>
          <cell r="AK24">
            <v>54.67</v>
          </cell>
        </row>
        <row r="25">
          <cell r="AG25" t="str">
            <v>投擲猴</v>
          </cell>
          <cell r="AH25" t="str">
            <v>格鬥</v>
          </cell>
          <cell r="AI25" t="str">
            <v>無</v>
          </cell>
          <cell r="AJ25">
            <v>26.082000000000001</v>
          </cell>
          <cell r="AK25">
            <v>50.921999999999997</v>
          </cell>
        </row>
        <row r="26">
          <cell r="AG26" t="str">
            <v>妙蛙花</v>
          </cell>
          <cell r="AH26" t="str">
            <v>草</v>
          </cell>
          <cell r="AI26" t="str">
            <v>毒</v>
          </cell>
          <cell r="AJ26">
            <v>26.082000000000001</v>
          </cell>
          <cell r="AK26">
            <v>55.061999999999998</v>
          </cell>
        </row>
        <row r="27">
          <cell r="AG27" t="str">
            <v>毛毛角羊</v>
          </cell>
          <cell r="AH27" t="str">
            <v>一般</v>
          </cell>
          <cell r="AI27" t="str">
            <v>無</v>
          </cell>
          <cell r="AJ27">
            <v>24.882999999999999</v>
          </cell>
          <cell r="AK27">
            <v>54.942999999999998</v>
          </cell>
        </row>
        <row r="28">
          <cell r="AG28" t="str">
            <v>多刺菊石獸</v>
          </cell>
          <cell r="AH28" t="str">
            <v>岩石</v>
          </cell>
          <cell r="AI28" t="str">
            <v>水</v>
          </cell>
          <cell r="AJ28">
            <v>25.456</v>
          </cell>
          <cell r="AK28">
            <v>56.415999999999997</v>
          </cell>
        </row>
        <row r="29">
          <cell r="AG29" t="str">
            <v>壺壺</v>
          </cell>
          <cell r="AH29" t="str">
            <v>岩石</v>
          </cell>
          <cell r="AI29" t="str">
            <v>蟲</v>
          </cell>
          <cell r="AJ29">
            <v>33.659999999999997</v>
          </cell>
          <cell r="AK29">
            <v>104.94</v>
          </cell>
        </row>
        <row r="30">
          <cell r="AG30" t="str">
            <v>怪力</v>
          </cell>
          <cell r="AH30" t="str">
            <v>格鬥</v>
          </cell>
          <cell r="AI30" t="str">
            <v>無</v>
          </cell>
          <cell r="AJ30">
            <v>25.38</v>
          </cell>
          <cell r="AK30">
            <v>50.76</v>
          </cell>
        </row>
        <row r="31">
          <cell r="AG31" t="str">
            <v>噴火龍</v>
          </cell>
          <cell r="AH31" t="str">
            <v>火</v>
          </cell>
          <cell r="AI31" t="str">
            <v>飛行</v>
          </cell>
          <cell r="AJ31">
            <v>22.62</v>
          </cell>
          <cell r="AK31">
            <v>48.72</v>
          </cell>
        </row>
        <row r="32">
          <cell r="AG32" t="str">
            <v>龍頭地鼠</v>
          </cell>
          <cell r="AH32" t="str">
            <v>地面</v>
          </cell>
          <cell r="AI32" t="str">
            <v>鋼</v>
          </cell>
          <cell r="AJ32">
            <v>24.452999999999999</v>
          </cell>
          <cell r="AK32">
            <v>45.512999999999998</v>
          </cell>
        </row>
        <row r="33">
          <cell r="AG33" t="str">
            <v>灰塵山</v>
          </cell>
          <cell r="AH33" t="str">
            <v>毒</v>
          </cell>
          <cell r="AI33" t="str">
            <v>無</v>
          </cell>
          <cell r="AJ33">
            <v>22.68</v>
          </cell>
          <cell r="AK33">
            <v>47.88</v>
          </cell>
        </row>
        <row r="34">
          <cell r="AG34" t="str">
            <v>閃焰王牌</v>
          </cell>
          <cell r="AH34" t="str">
            <v>火</v>
          </cell>
          <cell r="AI34" t="str">
            <v>無</v>
          </cell>
          <cell r="AJ34">
            <v>24.36</v>
          </cell>
          <cell r="AK34">
            <v>50.46</v>
          </cell>
        </row>
        <row r="35">
          <cell r="AG35" t="str">
            <v>吼鯨王</v>
          </cell>
          <cell r="AH35" t="str">
            <v>水</v>
          </cell>
          <cell r="AI35" t="str">
            <v>無</v>
          </cell>
          <cell r="AJ35">
            <v>22.88</v>
          </cell>
          <cell r="AK35">
            <v>37.28</v>
          </cell>
        </row>
        <row r="36">
          <cell r="AG36" t="str">
            <v>鐮刀盔</v>
          </cell>
          <cell r="AH36" t="str">
            <v>水</v>
          </cell>
          <cell r="AI36" t="str">
            <v>岩石</v>
          </cell>
          <cell r="AJ36">
            <v>21.172000000000001</v>
          </cell>
          <cell r="AK36">
            <v>49.612000000000002</v>
          </cell>
        </row>
        <row r="37">
          <cell r="AG37" t="str">
            <v>高傲雉雞</v>
          </cell>
          <cell r="AH37" t="str">
            <v>一般</v>
          </cell>
          <cell r="AI37" t="str">
            <v>飛行</v>
          </cell>
          <cell r="AJ37">
            <v>20.32</v>
          </cell>
          <cell r="AK37">
            <v>43.18</v>
          </cell>
        </row>
        <row r="38">
          <cell r="AG38" t="str">
            <v>列陣兵</v>
          </cell>
          <cell r="AH38" t="str">
            <v>格鬥</v>
          </cell>
          <cell r="AI38" t="str">
            <v>無</v>
          </cell>
          <cell r="AJ38">
            <v>20.440000000000001</v>
          </cell>
          <cell r="AK38">
            <v>46.72</v>
          </cell>
        </row>
        <row r="39">
          <cell r="AG39" t="str">
            <v>布莉姆溫</v>
          </cell>
          <cell r="AH39" t="str">
            <v>妖精</v>
          </cell>
          <cell r="AI39" t="str">
            <v>超能力</v>
          </cell>
          <cell r="AJ39">
            <v>19.84</v>
          </cell>
          <cell r="AK39">
            <v>47.74</v>
          </cell>
        </row>
        <row r="40">
          <cell r="AG40" t="str">
            <v>狒狒達摩</v>
          </cell>
          <cell r="AH40" t="str">
            <v>火</v>
          </cell>
          <cell r="AI40" t="str">
            <v>無</v>
          </cell>
          <cell r="AJ40">
            <v>19.3</v>
          </cell>
          <cell r="AK40">
            <v>37.299999999999997</v>
          </cell>
        </row>
        <row r="41">
          <cell r="AG41" t="str">
            <v>巨鉗蟹</v>
          </cell>
          <cell r="AH41" t="str">
            <v>水</v>
          </cell>
          <cell r="AI41" t="str">
            <v>無</v>
          </cell>
          <cell r="AJ41">
            <v>19.431000000000001</v>
          </cell>
          <cell r="AK41">
            <v>46.970999999999997</v>
          </cell>
        </row>
        <row r="42">
          <cell r="AG42" t="str">
            <v>顫弦蠑螈</v>
          </cell>
          <cell r="AH42" t="str">
            <v>電</v>
          </cell>
          <cell r="AI42" t="str">
            <v>毒</v>
          </cell>
          <cell r="AJ42">
            <v>18.634</v>
          </cell>
          <cell r="AK42">
            <v>40.414000000000001</v>
          </cell>
        </row>
        <row r="43">
          <cell r="AG43" t="str">
            <v>千面避役</v>
          </cell>
          <cell r="AH43" t="str">
            <v>水</v>
          </cell>
          <cell r="AI43" t="str">
            <v>無</v>
          </cell>
          <cell r="AJ43">
            <v>19.303999999999998</v>
          </cell>
          <cell r="AK43">
            <v>42.164000000000001</v>
          </cell>
        </row>
        <row r="44">
          <cell r="AG44" t="str">
            <v>耿鬼</v>
          </cell>
          <cell r="AH44" t="str">
            <v>幽靈</v>
          </cell>
          <cell r="AI44" t="str">
            <v>毒</v>
          </cell>
          <cell r="AJ44">
            <v>18.224</v>
          </cell>
          <cell r="AK44">
            <v>42.344000000000001</v>
          </cell>
        </row>
        <row r="45">
          <cell r="AG45" t="str">
            <v>巴大蝶</v>
          </cell>
          <cell r="AH45" t="str">
            <v>蟲</v>
          </cell>
          <cell r="AI45" t="str">
            <v>飛行</v>
          </cell>
          <cell r="AJ45">
            <v>15.827</v>
          </cell>
          <cell r="AK45">
            <v>37.247</v>
          </cell>
        </row>
        <row r="46">
          <cell r="AG46" t="str">
            <v>勾魂眼</v>
          </cell>
          <cell r="AH46" t="str">
            <v>幽靈</v>
          </cell>
          <cell r="AI46" t="str">
            <v>惡</v>
          </cell>
          <cell r="AJ46">
            <v>13.688000000000001</v>
          </cell>
          <cell r="AK46">
            <v>34.567999999999998</v>
          </cell>
        </row>
        <row r="47">
          <cell r="AG47" t="str">
            <v>胡地</v>
          </cell>
          <cell r="AH47" t="str">
            <v>超能力</v>
          </cell>
          <cell r="AI47" t="str">
            <v>無</v>
          </cell>
          <cell r="AJ47">
            <v>18.288</v>
          </cell>
          <cell r="AK47">
            <v>44.207999999999998</v>
          </cell>
        </row>
        <row r="48">
          <cell r="AG48" t="str">
            <v>鋁鋼龍</v>
          </cell>
          <cell r="AH48" t="str">
            <v>鋼</v>
          </cell>
          <cell r="AI48" t="str">
            <v>龍</v>
          </cell>
          <cell r="AJ48">
            <v>23.225999999999999</v>
          </cell>
          <cell r="AK48">
            <v>51.665999999999997</v>
          </cell>
        </row>
        <row r="49">
          <cell r="AG49" t="str">
            <v>甜冷美后</v>
          </cell>
          <cell r="AH49" t="str">
            <v>草</v>
          </cell>
          <cell r="AI49" t="str">
            <v>無</v>
          </cell>
          <cell r="AJ49">
            <v>24.9</v>
          </cell>
          <cell r="AK49">
            <v>54.78</v>
          </cell>
        </row>
        <row r="50">
          <cell r="AG50" t="str">
            <v>沙奈朵</v>
          </cell>
          <cell r="AH50" t="str">
            <v>超能力</v>
          </cell>
          <cell r="AI50" t="str">
            <v>妖精</v>
          </cell>
          <cell r="AJ50">
            <v>24.07</v>
          </cell>
          <cell r="AK50">
            <v>53.95</v>
          </cell>
        </row>
        <row r="51">
          <cell r="AG51" t="str">
            <v>伊布</v>
          </cell>
          <cell r="AH51" t="str">
            <v>一般</v>
          </cell>
          <cell r="AI51" t="str">
            <v>無</v>
          </cell>
          <cell r="AJ51">
            <v>12.954000000000001</v>
          </cell>
          <cell r="AK51">
            <v>31.314</v>
          </cell>
        </row>
        <row r="52">
          <cell r="AG52" t="str">
            <v>水伊布</v>
          </cell>
          <cell r="AH52" t="str">
            <v>水</v>
          </cell>
          <cell r="AI52" t="str">
            <v>無</v>
          </cell>
          <cell r="AJ52">
            <v>31.97</v>
          </cell>
          <cell r="AK52">
            <v>56.99</v>
          </cell>
        </row>
        <row r="53">
          <cell r="AG53" t="str">
            <v>雷伊布</v>
          </cell>
          <cell r="AH53" t="str">
            <v>電</v>
          </cell>
          <cell r="AI53" t="str">
            <v>無</v>
          </cell>
          <cell r="AJ53">
            <v>21.84</v>
          </cell>
          <cell r="AK53">
            <v>49.92</v>
          </cell>
        </row>
        <row r="54">
          <cell r="AG54" t="str">
            <v>火伊布</v>
          </cell>
          <cell r="AH54" t="str">
            <v>火</v>
          </cell>
          <cell r="AI54" t="str">
            <v>無</v>
          </cell>
          <cell r="AJ54">
            <v>21.42</v>
          </cell>
          <cell r="AK54">
            <v>48.96</v>
          </cell>
        </row>
        <row r="55">
          <cell r="AG55" t="str">
            <v>太陽伊布</v>
          </cell>
          <cell r="AH55" t="str">
            <v>超能力</v>
          </cell>
          <cell r="AI55" t="str">
            <v>無</v>
          </cell>
          <cell r="AJ55">
            <v>21</v>
          </cell>
          <cell r="AK55">
            <v>48</v>
          </cell>
        </row>
        <row r="56">
          <cell r="AG56" t="str">
            <v>月亮伊布</v>
          </cell>
          <cell r="AH56" t="str">
            <v>惡</v>
          </cell>
          <cell r="AI56" t="str">
            <v>無</v>
          </cell>
          <cell r="AJ56">
            <v>36.764000000000003</v>
          </cell>
          <cell r="AK56">
            <v>73.123999999999995</v>
          </cell>
        </row>
        <row r="57">
          <cell r="AG57" t="str">
            <v>葉伊布</v>
          </cell>
          <cell r="AH57" t="str">
            <v>草</v>
          </cell>
          <cell r="AI57" t="str">
            <v>無</v>
          </cell>
          <cell r="AJ57">
            <v>25.9</v>
          </cell>
          <cell r="AK57">
            <v>59.2</v>
          </cell>
        </row>
        <row r="58">
          <cell r="AG58" t="str">
            <v>冰伊布</v>
          </cell>
          <cell r="AH58" t="str">
            <v>冰</v>
          </cell>
          <cell r="AI58" t="str">
            <v>無</v>
          </cell>
          <cell r="AJ58">
            <v>24.36</v>
          </cell>
          <cell r="AK58">
            <v>55.68</v>
          </cell>
        </row>
        <row r="59">
          <cell r="AG59" t="str">
            <v>仙子伊布</v>
          </cell>
          <cell r="AH59" t="str">
            <v>妖精</v>
          </cell>
          <cell r="AI59" t="str">
            <v>無</v>
          </cell>
          <cell r="AJ59">
            <v>31.486000000000001</v>
          </cell>
          <cell r="AK59">
            <v>62.625999999999998</v>
          </cell>
        </row>
        <row r="60">
          <cell r="AG60" t="str">
            <v>艾路雷朵</v>
          </cell>
          <cell r="AH60" t="str">
            <v>超能力</v>
          </cell>
          <cell r="AI60" t="str">
            <v>格鬥</v>
          </cell>
          <cell r="AJ60">
            <v>24.07</v>
          </cell>
          <cell r="AK60">
            <v>53.95</v>
          </cell>
        </row>
        <row r="61">
          <cell r="AG61" t="str">
            <v>烏賊王</v>
          </cell>
          <cell r="AH61" t="str">
            <v>惡</v>
          </cell>
          <cell r="AI61" t="str">
            <v>超能力</v>
          </cell>
          <cell r="AJ61">
            <v>23.998000000000001</v>
          </cell>
          <cell r="AK61">
            <v>49.558</v>
          </cell>
        </row>
        <row r="62">
          <cell r="AG62" t="str">
            <v>心蝙蝠</v>
          </cell>
          <cell r="AH62" t="str">
            <v>超能力</v>
          </cell>
          <cell r="AI62" t="str">
            <v>飛行</v>
          </cell>
          <cell r="AJ62">
            <v>15.157999999999999</v>
          </cell>
          <cell r="AK62">
            <v>34.238</v>
          </cell>
        </row>
        <row r="63">
          <cell r="AG63" t="str">
            <v>洛奇亞</v>
          </cell>
          <cell r="AH63" t="str">
            <v>超能力</v>
          </cell>
          <cell r="AI63" t="str">
            <v>飛行</v>
          </cell>
          <cell r="AJ63">
            <v>50.628999999999998</v>
          </cell>
          <cell r="AK63">
            <v>96.888999999999996</v>
          </cell>
        </row>
        <row r="64">
          <cell r="AG64" t="str">
            <v>飛腿郎</v>
          </cell>
          <cell r="AH64" t="str">
            <v>格鬥</v>
          </cell>
          <cell r="AI64" t="str">
            <v>無</v>
          </cell>
          <cell r="AJ64">
            <v>18.600000000000001</v>
          </cell>
          <cell r="AK64">
            <v>46.5</v>
          </cell>
        </row>
        <row r="65">
          <cell r="AG65" t="str">
            <v>快拳郎</v>
          </cell>
          <cell r="AH65" t="str">
            <v>格鬥</v>
          </cell>
          <cell r="AI65" t="str">
            <v>無</v>
          </cell>
          <cell r="AJ65">
            <v>20.16</v>
          </cell>
          <cell r="AK65">
            <v>50.4</v>
          </cell>
        </row>
        <row r="66">
          <cell r="AG66" t="str">
            <v>帝牙海獅</v>
          </cell>
          <cell r="AH66" t="str">
            <v>水</v>
          </cell>
          <cell r="AI66" t="str">
            <v>冰</v>
          </cell>
          <cell r="AJ66">
            <v>30.652999999999999</v>
          </cell>
          <cell r="AK66">
            <v>57.832999999999998</v>
          </cell>
        </row>
        <row r="67">
          <cell r="AG67" t="str">
            <v>龐岩怪</v>
          </cell>
          <cell r="AH67" t="str">
            <v>岩石</v>
          </cell>
          <cell r="AI67" t="str">
            <v>無</v>
          </cell>
          <cell r="AJ67">
            <v>28.728000000000002</v>
          </cell>
          <cell r="AK67">
            <v>59.508000000000003</v>
          </cell>
        </row>
        <row r="68">
          <cell r="AG68" t="str">
            <v>老翁龍</v>
          </cell>
          <cell r="AH68" t="str">
            <v>龍</v>
          </cell>
          <cell r="AI68" t="str">
            <v>一般</v>
          </cell>
          <cell r="AJ68">
            <v>22.277999999999999</v>
          </cell>
          <cell r="AK68">
            <v>47.658000000000001</v>
          </cell>
        </row>
        <row r="69">
          <cell r="AG69" t="str">
            <v>鳳王</v>
          </cell>
          <cell r="AH69" t="str">
            <v>飛行</v>
          </cell>
          <cell r="AI69" t="str">
            <v>火</v>
          </cell>
          <cell r="AJ69">
            <v>37.44</v>
          </cell>
          <cell r="AK69">
            <v>74.88</v>
          </cell>
        </row>
        <row r="70">
          <cell r="AG70" t="str">
            <v>風速狗</v>
          </cell>
          <cell r="AH70" t="str">
            <v>火</v>
          </cell>
          <cell r="AI70" t="str">
            <v>無</v>
          </cell>
          <cell r="AJ70">
            <v>25.024999999999999</v>
          </cell>
          <cell r="AK70">
            <v>50.765000000000001</v>
          </cell>
        </row>
        <row r="71">
          <cell r="AG71" t="str">
            <v>固拉多</v>
          </cell>
          <cell r="AH71" t="str">
            <v>地面</v>
          </cell>
          <cell r="AI71" t="str">
            <v>無</v>
          </cell>
          <cell r="AJ71">
            <v>33.216000000000001</v>
          </cell>
          <cell r="AK71">
            <v>67.775999999999996</v>
          </cell>
        </row>
        <row r="72">
          <cell r="AG72" t="str">
            <v>蓋歐卡</v>
          </cell>
          <cell r="AH72" t="str">
            <v>水</v>
          </cell>
          <cell r="AI72" t="str">
            <v>無</v>
          </cell>
          <cell r="AJ72">
            <v>33.216000000000001</v>
          </cell>
          <cell r="AK72">
            <v>67.775999999999996</v>
          </cell>
        </row>
        <row r="73">
          <cell r="AG73" t="str">
            <v>烈空坐</v>
          </cell>
          <cell r="AH73" t="str">
            <v>龍</v>
          </cell>
          <cell r="AI73" t="str">
            <v>飛行</v>
          </cell>
          <cell r="AJ73">
            <v>26.28</v>
          </cell>
          <cell r="AK73">
            <v>52.56</v>
          </cell>
        </row>
        <row r="74">
          <cell r="AG74" t="str">
            <v>喵喵</v>
          </cell>
          <cell r="AH74" t="str">
            <v>一般</v>
          </cell>
          <cell r="AI74" t="str">
            <v>無</v>
          </cell>
          <cell r="AJ74">
            <v>7.7380000000000004</v>
          </cell>
          <cell r="AK74">
            <v>20.878</v>
          </cell>
        </row>
        <row r="75">
          <cell r="AG75" t="str">
            <v>皮卡丘</v>
          </cell>
          <cell r="AH75" t="str">
            <v>電</v>
          </cell>
          <cell r="AI75" t="str">
            <v>無</v>
          </cell>
          <cell r="AJ75">
            <v>8.7119999999999997</v>
          </cell>
          <cell r="AK75">
            <v>24.552</v>
          </cell>
        </row>
        <row r="76">
          <cell r="AG76" t="str">
            <v>雷丘</v>
          </cell>
          <cell r="AH76" t="str">
            <v>電</v>
          </cell>
          <cell r="AI76" t="str">
            <v>無</v>
          </cell>
          <cell r="AJ76">
            <v>17.553999999999998</v>
          </cell>
          <cell r="AK76">
            <v>41.134</v>
          </cell>
        </row>
        <row r="77">
          <cell r="AG77" t="str">
            <v>雷吉艾斯</v>
          </cell>
          <cell r="AH77" t="str">
            <v>冰</v>
          </cell>
          <cell r="AI77" t="str">
            <v>無</v>
          </cell>
          <cell r="AJ77">
            <v>41.472000000000001</v>
          </cell>
          <cell r="AK77">
            <v>87.552000000000007</v>
          </cell>
        </row>
        <row r="78">
          <cell r="AG78" t="str">
            <v>沙漠蜻蜓</v>
          </cell>
          <cell r="AH78" t="str">
            <v>地面</v>
          </cell>
          <cell r="AI78" t="str">
            <v>龍</v>
          </cell>
          <cell r="AJ78">
            <v>23.327999999999999</v>
          </cell>
          <cell r="AK78">
            <v>49.247999999999998</v>
          </cell>
        </row>
        <row r="79">
          <cell r="AG79" t="str">
            <v>雷吉洛克</v>
          </cell>
          <cell r="AH79" t="str">
            <v>岩石</v>
          </cell>
          <cell r="AI79" t="str">
            <v>無</v>
          </cell>
          <cell r="AJ79">
            <v>41.472000000000001</v>
          </cell>
          <cell r="AK79">
            <v>87.552000000000007</v>
          </cell>
        </row>
        <row r="80">
          <cell r="AG80" t="str">
            <v>雷吉斯奇魯</v>
          </cell>
          <cell r="AH80" t="str">
            <v>鋼</v>
          </cell>
          <cell r="AI80" t="str">
            <v>無</v>
          </cell>
          <cell r="AJ80">
            <v>38.393999999999998</v>
          </cell>
          <cell r="AK80">
            <v>81.054000000000002</v>
          </cell>
        </row>
        <row r="81">
          <cell r="AG81" t="str">
            <v>長毛巨魔</v>
          </cell>
          <cell r="AH81" t="str">
            <v>惡</v>
          </cell>
          <cell r="AI81" t="str">
            <v>妖精</v>
          </cell>
          <cell r="AJ81">
            <v>22.204000000000001</v>
          </cell>
          <cell r="AK81">
            <v>44.164000000000001</v>
          </cell>
        </row>
        <row r="82">
          <cell r="AG82" t="str">
            <v>風妖精</v>
          </cell>
          <cell r="AH82" t="str">
            <v>草</v>
          </cell>
          <cell r="AI82" t="str">
            <v>妖精</v>
          </cell>
          <cell r="AJ82">
            <v>20.234000000000002</v>
          </cell>
          <cell r="AK82">
            <v>47.414000000000001</v>
          </cell>
        </row>
        <row r="83">
          <cell r="AG83" t="str">
            <v>蜂女王</v>
          </cell>
          <cell r="AH83" t="str">
            <v>蟲</v>
          </cell>
          <cell r="AI83" t="str">
            <v>飛行</v>
          </cell>
          <cell r="AJ83">
            <v>23.814</v>
          </cell>
          <cell r="AK83">
            <v>52.973999999999997</v>
          </cell>
        </row>
        <row r="84">
          <cell r="AG84" t="str">
            <v>電擊魔獸</v>
          </cell>
          <cell r="AH84" t="str">
            <v>電</v>
          </cell>
          <cell r="AI84" t="str">
            <v>無</v>
          </cell>
          <cell r="AJ84">
            <v>21.713999999999999</v>
          </cell>
          <cell r="AK84">
            <v>47.094000000000001</v>
          </cell>
        </row>
        <row r="85">
          <cell r="AG85" t="str">
            <v>貓頭夜鷹</v>
          </cell>
          <cell r="AH85" t="str">
            <v>一般</v>
          </cell>
          <cell r="AI85" t="str">
            <v>飛行</v>
          </cell>
          <cell r="AJ85">
            <v>25.515000000000001</v>
          </cell>
          <cell r="AK85">
            <v>49.814999999999998</v>
          </cell>
        </row>
        <row r="86">
          <cell r="AG86" t="str">
            <v>暴鯉龍</v>
          </cell>
          <cell r="AH86" t="str">
            <v>水</v>
          </cell>
          <cell r="AI86" t="str">
            <v>惡</v>
          </cell>
          <cell r="AJ86">
            <v>28.937999999999999</v>
          </cell>
          <cell r="AK86">
            <v>57.558</v>
          </cell>
        </row>
        <row r="87">
          <cell r="AG87" t="str">
            <v>三首惡龍</v>
          </cell>
          <cell r="AH87" t="str">
            <v>惡</v>
          </cell>
          <cell r="AI87" t="str">
            <v>龍</v>
          </cell>
          <cell r="AJ87">
            <v>28.48</v>
          </cell>
          <cell r="AK87">
            <v>57.28</v>
          </cell>
        </row>
        <row r="88">
          <cell r="AG88" t="str">
            <v>美納斯</v>
          </cell>
          <cell r="AH88" t="str">
            <v>水</v>
          </cell>
          <cell r="AI88" t="str">
            <v>無</v>
          </cell>
          <cell r="AJ88">
            <v>33.67</v>
          </cell>
          <cell r="AK88">
            <v>66.97</v>
          </cell>
        </row>
        <row r="89">
          <cell r="AG89" t="str">
            <v>鴨嘴炎獸</v>
          </cell>
          <cell r="AH89" t="str">
            <v>火</v>
          </cell>
          <cell r="AI89" t="str">
            <v>無</v>
          </cell>
          <cell r="AJ89">
            <v>22.792000000000002</v>
          </cell>
          <cell r="AK89">
            <v>49.432000000000002</v>
          </cell>
        </row>
        <row r="90">
          <cell r="AG90" t="str">
            <v>超甲狂犀</v>
          </cell>
          <cell r="AH90" t="str">
            <v>地面</v>
          </cell>
          <cell r="AI90" t="str">
            <v>岩石</v>
          </cell>
          <cell r="AJ90">
            <v>34.020000000000003</v>
          </cell>
          <cell r="AK90">
            <v>63.18</v>
          </cell>
        </row>
        <row r="91">
          <cell r="AG91" t="str">
            <v>帝牙盧卡</v>
          </cell>
          <cell r="AH91" t="str">
            <v>鋼</v>
          </cell>
          <cell r="AI91" t="str">
            <v>龍</v>
          </cell>
          <cell r="AJ91">
            <v>32.869999999999997</v>
          </cell>
          <cell r="AK91">
            <v>67.069999999999993</v>
          </cell>
        </row>
        <row r="92">
          <cell r="AG92" t="str">
            <v>帕路奇亞</v>
          </cell>
          <cell r="AH92" t="str">
            <v>水</v>
          </cell>
          <cell r="AI92" t="str">
            <v>龍</v>
          </cell>
          <cell r="AJ92">
            <v>29.302</v>
          </cell>
          <cell r="AK92">
            <v>62.061999999999998</v>
          </cell>
        </row>
        <row r="93">
          <cell r="AG93" t="str">
            <v>瑪狃拉</v>
          </cell>
          <cell r="AH93" t="str">
            <v>冰</v>
          </cell>
          <cell r="AI93" t="str">
            <v>惡</v>
          </cell>
          <cell r="AJ93">
            <v>21.609000000000002</v>
          </cell>
          <cell r="AK93">
            <v>48.069000000000003</v>
          </cell>
        </row>
        <row r="94">
          <cell r="AG94" t="str">
            <v>焚焰蚣</v>
          </cell>
          <cell r="AH94" t="str">
            <v>火</v>
          </cell>
          <cell r="AI94" t="str">
            <v>蟲</v>
          </cell>
          <cell r="AJ94">
            <v>25.704000000000001</v>
          </cell>
          <cell r="AK94">
            <v>50.183999999999997</v>
          </cell>
        </row>
        <row r="95">
          <cell r="AG95" t="str">
            <v>由克希</v>
          </cell>
          <cell r="AH95" t="str">
            <v>超能力</v>
          </cell>
          <cell r="AI95" t="str">
            <v>無</v>
          </cell>
          <cell r="AJ95">
            <v>34.65</v>
          </cell>
          <cell r="AK95">
            <v>75.150000000000006</v>
          </cell>
        </row>
        <row r="96">
          <cell r="AG96" t="str">
            <v>艾姆利多</v>
          </cell>
          <cell r="AH96" t="str">
            <v>超能力</v>
          </cell>
          <cell r="AI96" t="str">
            <v>無</v>
          </cell>
          <cell r="AJ96">
            <v>28.998000000000001</v>
          </cell>
          <cell r="AK96">
            <v>61.218000000000004</v>
          </cell>
        </row>
        <row r="97">
          <cell r="AG97" t="str">
            <v>亞克諾姆</v>
          </cell>
          <cell r="AH97" t="str">
            <v>超能力</v>
          </cell>
          <cell r="AI97" t="str">
            <v>無</v>
          </cell>
          <cell r="AJ97">
            <v>20.173999999999999</v>
          </cell>
          <cell r="AK97">
            <v>43.753999999999998</v>
          </cell>
        </row>
        <row r="98"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</row>
        <row r="99"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</row>
        <row r="100"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</row>
        <row r="101">
          <cell r="AG101" t="str">
            <v/>
          </cell>
          <cell r="AH101" t="str">
            <v/>
          </cell>
          <cell r="AI101" t="str">
            <v/>
          </cell>
          <cell r="AJ101" t="str">
            <v/>
          </cell>
          <cell r="AK101" t="str">
            <v/>
          </cell>
        </row>
        <row r="102">
          <cell r="AG102" t="str">
            <v/>
          </cell>
          <cell r="AH102" t="str">
            <v/>
          </cell>
          <cell r="AI102" t="str">
            <v/>
          </cell>
          <cell r="AJ102" t="str">
            <v/>
          </cell>
          <cell r="AK102" t="str">
            <v/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"/>
  <sheetViews>
    <sheetView tabSelected="1" topLeftCell="A77" workbookViewId="0">
      <selection activeCell="C100" sqref="C100"/>
    </sheetView>
  </sheetViews>
  <sheetFormatPr defaultRowHeight="15" x14ac:dyDescent="0.3"/>
  <cols>
    <col min="1" max="1" width="15.5" bestFit="1" customWidth="1"/>
    <col min="2" max="3" width="9" style="13"/>
    <col min="4" max="4" width="12.75" style="16" bestFit="1" customWidth="1"/>
    <col min="5" max="5" width="12.75" style="16" customWidth="1"/>
  </cols>
  <sheetData>
    <row r="1" spans="1:26" x14ac:dyDescent="0.3">
      <c r="A1" s="13" t="str">
        <f>[1]攻守數據!AG2</f>
        <v>寶可夢</v>
      </c>
      <c r="B1" s="13" t="str">
        <f>[1]攻守數據!AH2</f>
        <v>屬性一</v>
      </c>
      <c r="C1" s="13" t="str">
        <f>[1]攻守數據!AI2</f>
        <v>屬性二</v>
      </c>
      <c r="D1" s="13" t="str">
        <f>[1]攻守數據!AJ2</f>
        <v>基礎防禦</v>
      </c>
      <c r="E1" s="13" t="str">
        <f>[1]攻守數據!AK2</f>
        <v>開三盾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2" t="s">
        <v>18</v>
      </c>
      <c r="Z1" s="1" t="s">
        <v>19</v>
      </c>
    </row>
    <row r="2" spans="1:26" ht="16.2" x14ac:dyDescent="0.3">
      <c r="A2" s="13" t="str">
        <f>[1]攻守數據!AG3</f>
        <v>幸福蛋</v>
      </c>
      <c r="B2" s="13" t="str">
        <f>[1]攻守數據!AH3</f>
        <v>一般</v>
      </c>
      <c r="C2" s="13" t="str">
        <f>[1]攻守數據!AI3</f>
        <v>無</v>
      </c>
      <c r="D2" s="15">
        <f>IF([1]攻守數據!AJ3 = "", "", [1]攻守數據!AJ3)</f>
        <v>61.686</v>
      </c>
      <c r="E2" s="15">
        <f>IF([1]攻守數據!AK3 = "", "", [1]攻守數據!AK3)</f>
        <v>88.506</v>
      </c>
      <c r="G2" s="1" t="s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3">
        <v>0.625</v>
      </c>
      <c r="S2" s="1">
        <v>1</v>
      </c>
      <c r="T2" s="1">
        <v>1</v>
      </c>
      <c r="U2" s="1">
        <v>1</v>
      </c>
      <c r="V2" s="4">
        <v>0.39100000000000001</v>
      </c>
      <c r="W2" s="1">
        <v>1</v>
      </c>
      <c r="X2" s="3">
        <v>0.625</v>
      </c>
      <c r="Y2" s="2">
        <v>1</v>
      </c>
      <c r="Z2" s="1">
        <v>1</v>
      </c>
    </row>
    <row r="3" spans="1:26" x14ac:dyDescent="0.3">
      <c r="A3" s="13" t="str">
        <f>[1]攻守數據!AG4</f>
        <v>藏瑪然特</v>
      </c>
      <c r="B3" s="13" t="str">
        <f>[1]攻守數據!AH4</f>
        <v>鋼</v>
      </c>
      <c r="C3" s="13" t="str">
        <f>[1]攻守數據!AI4</f>
        <v>格鬥</v>
      </c>
      <c r="D3" s="15">
        <f>IF([1]攻守數據!AJ4 = "", "", [1]攻守數據!AJ4)</f>
        <v>58.25</v>
      </c>
      <c r="E3" s="15">
        <f>IF([1]攻守數據!AK4 = "", "", [1]攻守數據!AK4)</f>
        <v>103.73</v>
      </c>
      <c r="G3" s="1" t="s">
        <v>2</v>
      </c>
      <c r="H3" s="1">
        <v>1</v>
      </c>
      <c r="I3" s="3">
        <v>0.625</v>
      </c>
      <c r="J3" s="1">
        <v>1</v>
      </c>
      <c r="K3" s="3">
        <v>0.625</v>
      </c>
      <c r="L3" s="1">
        <v>1</v>
      </c>
      <c r="M3" s="5">
        <v>1.6</v>
      </c>
      <c r="N3" s="1">
        <v>1</v>
      </c>
      <c r="O3" s="1">
        <v>1</v>
      </c>
      <c r="P3" s="1">
        <v>1</v>
      </c>
      <c r="Q3" s="1">
        <v>1</v>
      </c>
      <c r="R3" s="3">
        <v>0.625</v>
      </c>
      <c r="S3" s="5">
        <v>1.6</v>
      </c>
      <c r="T3" s="5">
        <v>1.6</v>
      </c>
      <c r="U3" s="3">
        <v>0.625</v>
      </c>
      <c r="V3" s="1">
        <v>1</v>
      </c>
      <c r="W3" s="1">
        <v>1</v>
      </c>
      <c r="X3" s="5">
        <v>1.6</v>
      </c>
      <c r="Y3" s="2">
        <v>1</v>
      </c>
      <c r="Z3" s="1">
        <v>1</v>
      </c>
    </row>
    <row r="4" spans="1:26" ht="16.2" x14ac:dyDescent="0.3">
      <c r="A4" s="13" t="str">
        <f>[1]攻守數據!AG5</f>
        <v>卡比獸</v>
      </c>
      <c r="B4" s="13" t="str">
        <f>[1]攻守數據!AH5</f>
        <v>一般</v>
      </c>
      <c r="C4" s="13" t="str">
        <f>[1]攻守數據!AI5</f>
        <v>無</v>
      </c>
      <c r="D4" s="15">
        <f>IF([1]攻守數據!AJ5 = "", "", [1]攻守數據!AJ5)</f>
        <v>39.44</v>
      </c>
      <c r="E4" s="15">
        <f>IF([1]攻守數據!AK5 = "", "", [1]攻守數據!AK5)</f>
        <v>65.540000000000006</v>
      </c>
      <c r="G4" s="1" t="s">
        <v>3</v>
      </c>
      <c r="H4" s="5">
        <v>1.6</v>
      </c>
      <c r="I4" s="1">
        <v>1</v>
      </c>
      <c r="J4" s="1">
        <v>1</v>
      </c>
      <c r="K4" s="1">
        <v>1</v>
      </c>
      <c r="L4" s="3">
        <v>0.625</v>
      </c>
      <c r="M4" s="1">
        <v>1</v>
      </c>
      <c r="N4" s="3">
        <v>0.625</v>
      </c>
      <c r="O4" s="1">
        <v>1</v>
      </c>
      <c r="P4" s="1">
        <v>1</v>
      </c>
      <c r="Q4" s="3">
        <v>0.625</v>
      </c>
      <c r="R4" s="5">
        <v>1.6</v>
      </c>
      <c r="S4" s="5">
        <v>1.6</v>
      </c>
      <c r="T4" s="3">
        <v>0.625</v>
      </c>
      <c r="U4" s="1">
        <v>1</v>
      </c>
      <c r="V4" s="4">
        <v>0.39100000000000001</v>
      </c>
      <c r="W4" s="5">
        <v>1.6</v>
      </c>
      <c r="X4" s="5">
        <v>1.6</v>
      </c>
      <c r="Y4" s="6">
        <v>0.625</v>
      </c>
      <c r="Z4" s="1">
        <v>1</v>
      </c>
    </row>
    <row r="5" spans="1:26" x14ac:dyDescent="0.3">
      <c r="A5" s="13" t="str">
        <f>[1]攻守數據!AG6</f>
        <v>水君</v>
      </c>
      <c r="B5" s="13" t="str">
        <f>[1]攻守數據!AH6</f>
        <v>水</v>
      </c>
      <c r="C5" s="13" t="str">
        <f>[1]攻守數據!AI6</f>
        <v>無</v>
      </c>
      <c r="D5" s="15">
        <f>IF([1]攻守數據!AJ6 = "", "", [1]攻守數據!AJ6)</f>
        <v>37.421999999999997</v>
      </c>
      <c r="E5" s="15">
        <f>IF([1]攻守數據!AK6 = "", "", [1]攻守數據!AK6)</f>
        <v>73.061999999999998</v>
      </c>
      <c r="G5" s="1" t="s">
        <v>4</v>
      </c>
      <c r="H5" s="1">
        <v>1</v>
      </c>
      <c r="I5" s="5">
        <v>1.6</v>
      </c>
      <c r="J5" s="1">
        <v>1</v>
      </c>
      <c r="K5" s="3">
        <v>0.625</v>
      </c>
      <c r="L5" s="1">
        <v>1</v>
      </c>
      <c r="M5" s="3">
        <v>0.625</v>
      </c>
      <c r="N5" s="1">
        <v>1</v>
      </c>
      <c r="O5" s="1">
        <v>1</v>
      </c>
      <c r="P5" s="5">
        <v>1.6</v>
      </c>
      <c r="Q5" s="1">
        <v>1</v>
      </c>
      <c r="R5" s="5">
        <v>1.6</v>
      </c>
      <c r="S5" s="1">
        <v>1</v>
      </c>
      <c r="T5" s="1">
        <v>1</v>
      </c>
      <c r="U5" s="3">
        <v>0.625</v>
      </c>
      <c r="V5" s="1">
        <v>1</v>
      </c>
      <c r="W5" s="1">
        <v>1</v>
      </c>
      <c r="X5" s="1">
        <v>1</v>
      </c>
      <c r="Y5" s="2">
        <v>1</v>
      </c>
      <c r="Z5" s="1">
        <v>1</v>
      </c>
    </row>
    <row r="6" spans="1:26" x14ac:dyDescent="0.3">
      <c r="A6" s="13" t="str">
        <f>[1]攻守數據!AG7</f>
        <v>無極汰那</v>
      </c>
      <c r="B6" s="13" t="str">
        <f>[1]攻守數據!AH7</f>
        <v>龍</v>
      </c>
      <c r="C6" s="13" t="str">
        <f>[1]攻守數據!AI7</f>
        <v>毒</v>
      </c>
      <c r="D6" s="15">
        <f>IF([1]攻守數據!AJ7 = "", "", [1]攻守數據!AJ7)</f>
        <v>38.701000000000001</v>
      </c>
      <c r="E6" s="15">
        <f>IF([1]攻守數據!AK7 = "", "", [1]攻守數據!AK7)</f>
        <v>69.120999999999995</v>
      </c>
      <c r="G6" s="1" t="s">
        <v>5</v>
      </c>
      <c r="H6" s="1">
        <v>1</v>
      </c>
      <c r="I6" s="1">
        <v>1</v>
      </c>
      <c r="J6" s="5">
        <v>1.6</v>
      </c>
      <c r="K6" s="1">
        <v>1</v>
      </c>
      <c r="L6" s="1">
        <v>1</v>
      </c>
      <c r="M6" s="5">
        <v>1.6</v>
      </c>
      <c r="N6" s="1">
        <v>1</v>
      </c>
      <c r="O6" s="3">
        <v>0.625</v>
      </c>
      <c r="P6" s="1">
        <v>1</v>
      </c>
      <c r="Q6" s="1">
        <v>1</v>
      </c>
      <c r="R6" s="3">
        <v>0.625</v>
      </c>
      <c r="S6" s="1">
        <v>1</v>
      </c>
      <c r="T6" s="5">
        <v>1.6</v>
      </c>
      <c r="U6" s="1">
        <v>1</v>
      </c>
      <c r="V6" s="1">
        <v>1</v>
      </c>
      <c r="W6" s="1">
        <v>1</v>
      </c>
      <c r="X6" s="3">
        <v>0.625</v>
      </c>
      <c r="Y6" s="2">
        <v>1</v>
      </c>
      <c r="Z6" s="1">
        <v>1</v>
      </c>
    </row>
    <row r="7" spans="1:26" x14ac:dyDescent="0.3">
      <c r="A7" s="13" t="str">
        <f>[1]攻守數據!AG8</f>
        <v>急凍鳥</v>
      </c>
      <c r="B7" s="13" t="str">
        <f>[1]攻守數據!AH8</f>
        <v>冰</v>
      </c>
      <c r="C7" s="13" t="str">
        <f>[1]攻守數據!AI8</f>
        <v>飛行</v>
      </c>
      <c r="D7" s="15">
        <f>IF([1]攻守數據!AJ8 = "", "", [1]攻守數據!AJ8)</f>
        <v>34.65</v>
      </c>
      <c r="E7" s="15">
        <f>IF([1]攻守數據!AK8 = "", "", [1]攻守數據!AK8)</f>
        <v>70.290000000000006</v>
      </c>
      <c r="G7" s="1" t="s">
        <v>6</v>
      </c>
      <c r="H7" s="1">
        <v>1</v>
      </c>
      <c r="I7" s="3">
        <v>0.625</v>
      </c>
      <c r="J7" s="1">
        <v>1</v>
      </c>
      <c r="K7" s="5">
        <v>1.6</v>
      </c>
      <c r="L7" s="3">
        <v>0.625</v>
      </c>
      <c r="M7" s="3">
        <v>0.625</v>
      </c>
      <c r="N7" s="3">
        <v>0.625</v>
      </c>
      <c r="O7" s="1">
        <v>1</v>
      </c>
      <c r="P7" s="5">
        <v>1.6</v>
      </c>
      <c r="Q7" s="1">
        <v>1</v>
      </c>
      <c r="R7" s="5">
        <v>1.6</v>
      </c>
      <c r="S7" s="1">
        <v>1</v>
      </c>
      <c r="T7" s="3">
        <v>0.625</v>
      </c>
      <c r="U7" s="3">
        <v>0.625</v>
      </c>
      <c r="V7" s="1">
        <v>1</v>
      </c>
      <c r="W7" s="1">
        <v>1</v>
      </c>
      <c r="X7" s="3">
        <v>0.625</v>
      </c>
      <c r="Y7" s="2">
        <v>1</v>
      </c>
      <c r="Z7" s="1">
        <v>1</v>
      </c>
    </row>
    <row r="8" spans="1:26" ht="16.2" x14ac:dyDescent="0.3">
      <c r="A8" s="13" t="str">
        <f>[1]攻守數據!AG9</f>
        <v>拉普拉斯</v>
      </c>
      <c r="B8" s="13" t="str">
        <f>[1]攻守數據!AH9</f>
        <v>水</v>
      </c>
      <c r="C8" s="13" t="str">
        <f>[1]攻守數據!AI9</f>
        <v>冰</v>
      </c>
      <c r="D8" s="15">
        <f>IF([1]攻守數據!AJ9 = "", "", [1]攻守數據!AJ9)</f>
        <v>33.81</v>
      </c>
      <c r="E8" s="15">
        <f>IF([1]攻守數據!AK9 = "", "", [1]攻守數據!AK9)</f>
        <v>60.27</v>
      </c>
      <c r="G8" s="1" t="s">
        <v>7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5">
        <v>1.6</v>
      </c>
      <c r="N8" s="3">
        <v>0.625</v>
      </c>
      <c r="O8" s="1">
        <v>1</v>
      </c>
      <c r="P8" s="3">
        <v>0.625</v>
      </c>
      <c r="Q8" s="1">
        <v>1</v>
      </c>
      <c r="R8" s="3">
        <v>0.625</v>
      </c>
      <c r="S8" s="1">
        <v>1</v>
      </c>
      <c r="T8" s="1">
        <v>1</v>
      </c>
      <c r="U8" s="1">
        <v>1</v>
      </c>
      <c r="V8" s="3">
        <v>0.625</v>
      </c>
      <c r="W8" s="1">
        <v>1</v>
      </c>
      <c r="X8" s="4">
        <v>0.39100000000000001</v>
      </c>
      <c r="Y8" s="7">
        <v>1.6</v>
      </c>
      <c r="Z8" s="1">
        <v>1</v>
      </c>
    </row>
    <row r="9" spans="1:26" ht="16.2" x14ac:dyDescent="0.3">
      <c r="A9" s="13" t="str">
        <f>[1]攻守數據!AG10</f>
        <v>拉帝亞斯</v>
      </c>
      <c r="B9" s="13" t="str">
        <f>[1]攻守數據!AH10</f>
        <v>龍</v>
      </c>
      <c r="C9" s="13" t="str">
        <f>[1]攻守數據!AI10</f>
        <v>超能力</v>
      </c>
      <c r="D9" s="15">
        <f>IF([1]攻守數據!AJ10 = "", "", [1]攻守數據!AJ10)</f>
        <v>31.916</v>
      </c>
      <c r="E9" s="15">
        <f>IF([1]攻守數據!AK10 = "", "", [1]攻守數據!AK10)</f>
        <v>68.275999999999996</v>
      </c>
      <c r="G9" s="1" t="s">
        <v>8</v>
      </c>
      <c r="H9" s="1">
        <v>1</v>
      </c>
      <c r="I9" s="1">
        <v>1</v>
      </c>
      <c r="J9" s="1">
        <v>1</v>
      </c>
      <c r="K9" s="5">
        <v>1.6</v>
      </c>
      <c r="L9" s="5">
        <v>1.6</v>
      </c>
      <c r="M9" s="3">
        <v>0.625</v>
      </c>
      <c r="N9" s="1">
        <v>1</v>
      </c>
      <c r="O9" s="3">
        <v>0.625</v>
      </c>
      <c r="P9" s="4">
        <v>0.39100000000000001</v>
      </c>
      <c r="Q9" s="1">
        <v>1</v>
      </c>
      <c r="R9" s="1">
        <v>1</v>
      </c>
      <c r="S9" s="1">
        <v>1</v>
      </c>
      <c r="T9" s="1">
        <v>1</v>
      </c>
      <c r="U9" s="3">
        <v>0.625</v>
      </c>
      <c r="V9" s="1">
        <v>1</v>
      </c>
      <c r="W9" s="1">
        <v>1</v>
      </c>
      <c r="X9" s="1">
        <v>1</v>
      </c>
      <c r="Y9" s="2">
        <v>1</v>
      </c>
      <c r="Z9" s="1">
        <v>1</v>
      </c>
    </row>
    <row r="10" spans="1:26" ht="16.2" x14ac:dyDescent="0.3">
      <c r="A10" s="13" t="str">
        <f>[1]攻守數據!AG11</f>
        <v>蒼響</v>
      </c>
      <c r="B10" s="13" t="str">
        <f>[1]攻守數據!AH11</f>
        <v>鋼</v>
      </c>
      <c r="C10" s="13" t="str">
        <f>[1]攻守數據!AI11</f>
        <v>妖精</v>
      </c>
      <c r="D10" s="15">
        <f>IF([1]攻守數據!AJ11 = "", "", [1]攻守數據!AJ11)</f>
        <v>36.848999999999997</v>
      </c>
      <c r="E10" s="15">
        <f>IF([1]攻守數據!AK11 = "", "", [1]攻守數據!AK11)</f>
        <v>75.188999999999993</v>
      </c>
      <c r="G10" s="1" t="s">
        <v>9</v>
      </c>
      <c r="H10" s="1">
        <v>1</v>
      </c>
      <c r="I10" s="5">
        <v>1.6</v>
      </c>
      <c r="J10" s="1">
        <v>1</v>
      </c>
      <c r="K10" s="1">
        <v>1</v>
      </c>
      <c r="L10" s="4">
        <v>0.39100000000000001</v>
      </c>
      <c r="M10" s="3">
        <v>0.625</v>
      </c>
      <c r="N10" s="5">
        <v>1.6</v>
      </c>
      <c r="O10" s="5">
        <v>1.6</v>
      </c>
      <c r="P10" s="1">
        <v>1</v>
      </c>
      <c r="Q10" s="1">
        <v>1</v>
      </c>
      <c r="R10" s="5">
        <v>1.6</v>
      </c>
      <c r="S10" s="1">
        <v>1</v>
      </c>
      <c r="T10" s="3">
        <v>0.625</v>
      </c>
      <c r="U10" s="1">
        <v>1</v>
      </c>
      <c r="V10" s="1">
        <v>1</v>
      </c>
      <c r="W10" s="1">
        <v>1</v>
      </c>
      <c r="X10" s="5">
        <v>1.6</v>
      </c>
      <c r="Y10" s="2">
        <v>1</v>
      </c>
      <c r="Z10" s="1">
        <v>1</v>
      </c>
    </row>
    <row r="11" spans="1:26" ht="16.2" x14ac:dyDescent="0.3">
      <c r="A11" s="13" t="str">
        <f>[1]攻守數據!AG12</f>
        <v>拉帝歐斯</v>
      </c>
      <c r="B11" s="13" t="str">
        <f>[1]攻守數據!AH12</f>
        <v>龍</v>
      </c>
      <c r="C11" s="13" t="str">
        <f>[1]攻守數據!AI12</f>
        <v>超能力</v>
      </c>
      <c r="D11" s="15">
        <f>IF([1]攻守數據!AJ12 = "", "", [1]攻守數據!AJ12)</f>
        <v>28.64</v>
      </c>
      <c r="E11" s="15">
        <f>IF([1]攻守數據!AK12 = "", "", [1]攻守數據!AK12)</f>
        <v>60.86</v>
      </c>
      <c r="G11" s="1" t="s">
        <v>10</v>
      </c>
      <c r="H11" s="1">
        <v>1</v>
      </c>
      <c r="I11" s="1">
        <v>1</v>
      </c>
      <c r="J11" s="5">
        <v>1.6</v>
      </c>
      <c r="K11" s="1">
        <v>1</v>
      </c>
      <c r="L11" s="1">
        <v>1</v>
      </c>
      <c r="M11" s="1">
        <v>1</v>
      </c>
      <c r="N11" s="5">
        <v>1.6</v>
      </c>
      <c r="O11" s="1">
        <v>1</v>
      </c>
      <c r="P11" s="1">
        <v>1</v>
      </c>
      <c r="Q11" s="3">
        <v>0.625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4">
        <v>0.39100000000000001</v>
      </c>
      <c r="X11" s="3">
        <v>0.625</v>
      </c>
      <c r="Y11" s="2">
        <v>1</v>
      </c>
      <c r="Z11" s="1">
        <v>1</v>
      </c>
    </row>
    <row r="12" spans="1:26" x14ac:dyDescent="0.3">
      <c r="A12" s="13" t="str">
        <f>[1]攻守數據!AG13</f>
        <v>巨金怪</v>
      </c>
      <c r="B12" s="13" t="str">
        <f>[1]攻守數據!AH13</f>
        <v>鋼</v>
      </c>
      <c r="C12" s="13" t="str">
        <f>[1]攻守數據!AI13</f>
        <v>超能力</v>
      </c>
      <c r="D12" s="15">
        <f>IF([1]攻守數據!AJ13 = "", "", [1]攻守數據!AJ13)</f>
        <v>30.428999999999998</v>
      </c>
      <c r="E12" s="15">
        <f>IF([1]攻守數據!AK13 = "", "", [1]攻守數據!AK13)</f>
        <v>64.448999999999998</v>
      </c>
      <c r="G12" s="1" t="s">
        <v>11</v>
      </c>
      <c r="H12" s="1">
        <v>1</v>
      </c>
      <c r="I12" s="5">
        <v>1.6</v>
      </c>
      <c r="J12" s="3">
        <v>0.625</v>
      </c>
      <c r="K12" s="1">
        <v>1</v>
      </c>
      <c r="L12" s="5">
        <v>1.6</v>
      </c>
      <c r="M12" s="1">
        <v>1</v>
      </c>
      <c r="N12" s="1">
        <v>1</v>
      </c>
      <c r="O12" s="1">
        <v>1</v>
      </c>
      <c r="P12" s="3">
        <v>0.625</v>
      </c>
      <c r="Q12" s="1">
        <v>1</v>
      </c>
      <c r="R12" s="1">
        <v>1</v>
      </c>
      <c r="S12" s="5">
        <v>1.6</v>
      </c>
      <c r="T12" s="5">
        <v>1.6</v>
      </c>
      <c r="U12" s="1">
        <v>1</v>
      </c>
      <c r="V12" s="1">
        <v>1</v>
      </c>
      <c r="W12" s="1">
        <v>1</v>
      </c>
      <c r="X12" s="3">
        <v>0.625</v>
      </c>
      <c r="Y12" s="2">
        <v>1</v>
      </c>
      <c r="Z12" s="1">
        <v>1</v>
      </c>
    </row>
    <row r="13" spans="1:26" x14ac:dyDescent="0.3">
      <c r="A13" s="13" t="str">
        <f>[1]攻守數據!AG14</f>
        <v>炎帝</v>
      </c>
      <c r="B13" s="13" t="str">
        <f>[1]攻守數據!AH14</f>
        <v>火</v>
      </c>
      <c r="C13" s="13" t="str">
        <f>[1]攻守數據!AI14</f>
        <v>無</v>
      </c>
      <c r="D13" s="15">
        <f>IF([1]攻守數據!AJ14 = "", "", [1]攻守數據!AJ14)</f>
        <v>30.015000000000001</v>
      </c>
      <c r="E13" s="15">
        <f>IF([1]攻守數據!AK14 = "", "", [1]攻守數據!AK14)</f>
        <v>56.115000000000002</v>
      </c>
      <c r="G13" s="1" t="s">
        <v>12</v>
      </c>
      <c r="H13" s="1">
        <v>1</v>
      </c>
      <c r="I13" s="3">
        <v>0.625</v>
      </c>
      <c r="J13" s="1">
        <v>1</v>
      </c>
      <c r="K13" s="3">
        <v>0.625</v>
      </c>
      <c r="L13" s="5">
        <v>1.6</v>
      </c>
      <c r="M13" s="5">
        <v>1.6</v>
      </c>
      <c r="N13" s="1">
        <v>1</v>
      </c>
      <c r="O13" s="1">
        <v>1</v>
      </c>
      <c r="P13" s="5">
        <v>1.6</v>
      </c>
      <c r="Q13" s="1">
        <v>1</v>
      </c>
      <c r="R13" s="1">
        <v>1</v>
      </c>
      <c r="S13" s="3">
        <v>0.625</v>
      </c>
      <c r="T13" s="1">
        <v>1</v>
      </c>
      <c r="U13" s="5">
        <v>1.6</v>
      </c>
      <c r="V13" s="1">
        <v>1</v>
      </c>
      <c r="W13" s="1">
        <v>1</v>
      </c>
      <c r="X13" s="3">
        <v>0.625</v>
      </c>
      <c r="Y13" s="2">
        <v>1</v>
      </c>
      <c r="Z13" s="1">
        <v>1</v>
      </c>
    </row>
    <row r="14" spans="1:26" x14ac:dyDescent="0.3">
      <c r="A14" s="13" t="str">
        <f>[1]攻守數據!AG15</f>
        <v>鋼鎧鴉</v>
      </c>
      <c r="B14" s="13" t="str">
        <f>[1]攻守數據!AH15</f>
        <v>鋼</v>
      </c>
      <c r="C14" s="13" t="str">
        <f>[1]攻守數據!AI15</f>
        <v>飛行</v>
      </c>
      <c r="D14" s="15">
        <f>IF([1]攻守數據!AJ15 = "", "", [1]攻守數據!AJ15)</f>
        <v>31.35</v>
      </c>
      <c r="E14" s="15">
        <f>IF([1]攻守數據!AK15 = "", "", [1]攻守數據!AK15)</f>
        <v>61.05</v>
      </c>
      <c r="G14" s="1" t="s">
        <v>13</v>
      </c>
      <c r="H14" s="1">
        <v>1</v>
      </c>
      <c r="I14" s="3">
        <v>0.625</v>
      </c>
      <c r="J14" s="3">
        <v>0.625</v>
      </c>
      <c r="K14" s="1">
        <v>1</v>
      </c>
      <c r="L14" s="3">
        <v>0.625</v>
      </c>
      <c r="M14" s="5">
        <v>1.6</v>
      </c>
      <c r="N14" s="3">
        <v>0.625</v>
      </c>
      <c r="O14" s="1">
        <v>1</v>
      </c>
      <c r="P14" s="1">
        <v>1</v>
      </c>
      <c r="Q14" s="5">
        <v>1.6</v>
      </c>
      <c r="R14" s="1">
        <v>1</v>
      </c>
      <c r="S14" s="1">
        <v>1</v>
      </c>
      <c r="T14" s="1">
        <v>1</v>
      </c>
      <c r="U14" s="1">
        <v>1</v>
      </c>
      <c r="V14" s="3">
        <v>0.625</v>
      </c>
      <c r="W14" s="5">
        <v>1.6</v>
      </c>
      <c r="X14" s="3">
        <v>0.625</v>
      </c>
      <c r="Y14" s="6">
        <v>0.625</v>
      </c>
      <c r="Z14" s="1">
        <v>1</v>
      </c>
    </row>
    <row r="15" spans="1:26" ht="16.2" x14ac:dyDescent="0.3">
      <c r="A15" s="13" t="str">
        <f>[1]攻守數據!AG16</f>
        <v>幾何雪花</v>
      </c>
      <c r="B15" s="13" t="str">
        <f>[1]攻守數據!AH16</f>
        <v>冰</v>
      </c>
      <c r="C15" s="13" t="str">
        <f>[1]攻守數據!AI16</f>
        <v>無</v>
      </c>
      <c r="D15" s="15">
        <f>IF([1]攻守數據!AJ16 = "", "", [1]攻守數據!AJ16)</f>
        <v>29.808</v>
      </c>
      <c r="E15" s="15">
        <f>IF([1]攻守數據!AK16 = "", "", [1]攻守數據!AK16)</f>
        <v>62.927999999999997</v>
      </c>
      <c r="G15" s="1" t="s">
        <v>14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5">
        <v>1.6</v>
      </c>
      <c r="V15" s="1">
        <v>1</v>
      </c>
      <c r="W15" s="1">
        <v>1</v>
      </c>
      <c r="X15" s="3">
        <v>0.625</v>
      </c>
      <c r="Y15" s="8">
        <v>0.39100000000000001</v>
      </c>
      <c r="Z15" s="1">
        <v>1</v>
      </c>
    </row>
    <row r="16" spans="1:26" ht="16.2" x14ac:dyDescent="0.3">
      <c r="A16" s="13" t="str">
        <f>[1]攻守數據!AG17</f>
        <v>藏飽栗鼠</v>
      </c>
      <c r="B16" s="13" t="str">
        <f>[1]攻守數據!AH17</f>
        <v>一般</v>
      </c>
      <c r="C16" s="13" t="str">
        <f>[1]攻守數據!AI17</f>
        <v>無</v>
      </c>
      <c r="D16" s="15">
        <f>IF([1]攻守數據!AJ17 = "", "", [1]攻守數據!AJ17)</f>
        <v>29.295000000000002</v>
      </c>
      <c r="E16" s="15">
        <f>IF([1]攻守數據!AK17 = "", "", [1]攻守數據!AK17)</f>
        <v>53.594999999999999</v>
      </c>
      <c r="G16" s="1" t="s">
        <v>15</v>
      </c>
      <c r="H16" s="4">
        <v>0.39100000000000001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5">
        <v>1.6</v>
      </c>
      <c r="R16" s="1">
        <v>1</v>
      </c>
      <c r="S16" s="1">
        <v>1</v>
      </c>
      <c r="T16" s="1">
        <v>1</v>
      </c>
      <c r="U16" s="1">
        <v>1</v>
      </c>
      <c r="V16" s="5">
        <v>1.6</v>
      </c>
      <c r="W16" s="3">
        <v>0.625</v>
      </c>
      <c r="X16" s="1">
        <v>1</v>
      </c>
      <c r="Y16" s="2">
        <v>1</v>
      </c>
      <c r="Z16" s="1">
        <v>1</v>
      </c>
    </row>
    <row r="17" spans="1:26" x14ac:dyDescent="0.3">
      <c r="A17" s="13" t="str">
        <f>[1]攻守數據!AG18</f>
        <v>雷公</v>
      </c>
      <c r="B17" s="13" t="str">
        <f>[1]攻守數據!AH18</f>
        <v>電</v>
      </c>
      <c r="C17" s="13" t="str">
        <f>[1]攻守數據!AI18</f>
        <v>無</v>
      </c>
      <c r="D17" s="15">
        <f>IF([1]攻守數據!AJ18 = "", "", [1]攻守數據!AJ18)</f>
        <v>29.05</v>
      </c>
      <c r="E17" s="15">
        <f>IF([1]攻守數據!AK18 = "", "", [1]攻守數據!AK18)</f>
        <v>58.93</v>
      </c>
      <c r="G17" s="1" t="s">
        <v>16</v>
      </c>
      <c r="H17" s="1">
        <v>1</v>
      </c>
      <c r="I17" s="1">
        <v>1</v>
      </c>
      <c r="J17" s="3">
        <v>0.625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5">
        <v>1.6</v>
      </c>
      <c r="R17" s="1">
        <v>1</v>
      </c>
      <c r="S17" s="1">
        <v>1</v>
      </c>
      <c r="T17" s="1">
        <v>1</v>
      </c>
      <c r="U17" s="1">
        <v>1</v>
      </c>
      <c r="V17" s="5">
        <v>1.6</v>
      </c>
      <c r="W17" s="3">
        <v>0.625</v>
      </c>
      <c r="X17" s="1">
        <v>1</v>
      </c>
      <c r="Y17" s="6">
        <v>0.625</v>
      </c>
      <c r="Z17" s="1">
        <v>1</v>
      </c>
    </row>
    <row r="18" spans="1:26" x14ac:dyDescent="0.3">
      <c r="A18" s="13" t="str">
        <f>[1]攻守數據!AG19</f>
        <v>武道熊師(一)</v>
      </c>
      <c r="B18" s="13" t="str">
        <f>[1]攻守數據!AH19</f>
        <v>格鬥</v>
      </c>
      <c r="C18" s="13" t="str">
        <f>[1]攻守數據!AI19</f>
        <v>惡</v>
      </c>
      <c r="D18" s="15">
        <f>IF([1]攻守數據!AJ19 = "", "", [1]攻守數據!AJ19)</f>
        <v>28.2</v>
      </c>
      <c r="E18" s="15">
        <f>IF([1]攻守數據!AK19 = "", "", [1]攻守數據!AK19)</f>
        <v>55.2</v>
      </c>
      <c r="G18" s="1" t="s">
        <v>17</v>
      </c>
      <c r="H18" s="1">
        <v>1</v>
      </c>
      <c r="I18" s="3">
        <v>0.625</v>
      </c>
      <c r="J18" s="1">
        <v>1</v>
      </c>
      <c r="K18" s="3">
        <v>0.625</v>
      </c>
      <c r="L18" s="1">
        <v>1</v>
      </c>
      <c r="M18" s="1">
        <v>1</v>
      </c>
      <c r="N18" s="1">
        <v>1</v>
      </c>
      <c r="O18" s="3">
        <v>0.625</v>
      </c>
      <c r="P18" s="1">
        <v>1</v>
      </c>
      <c r="Q18" s="1">
        <v>1</v>
      </c>
      <c r="R18" s="5">
        <v>1.6</v>
      </c>
      <c r="S18" s="5">
        <v>1.6</v>
      </c>
      <c r="T18" s="1">
        <v>1</v>
      </c>
      <c r="U18" s="1">
        <v>1</v>
      </c>
      <c r="V18" s="1">
        <v>1</v>
      </c>
      <c r="W18" s="1">
        <v>1</v>
      </c>
      <c r="X18" s="3">
        <v>0.625</v>
      </c>
      <c r="Y18" s="7">
        <v>1.6</v>
      </c>
      <c r="Z18" s="1">
        <v>1</v>
      </c>
    </row>
    <row r="19" spans="1:26" x14ac:dyDescent="0.3">
      <c r="A19" s="13" t="str">
        <f>[1]攻守數據!AG20</f>
        <v>武道熊師(連)</v>
      </c>
      <c r="B19" s="13" t="str">
        <f>[1]攻守數據!AH20</f>
        <v>格鬥</v>
      </c>
      <c r="C19" s="13" t="str">
        <f>[1]攻守數據!AI20</f>
        <v>水</v>
      </c>
      <c r="D19" s="15">
        <f>IF([1]攻守數據!AJ20 = "", "", [1]攻守數據!AJ20)</f>
        <v>28.2</v>
      </c>
      <c r="E19" s="15">
        <f>IF([1]攻守數據!AK20 = "", "", [1]攻守數據!AK20)</f>
        <v>55.2</v>
      </c>
      <c r="G19" s="9" t="s">
        <v>18</v>
      </c>
      <c r="H19" s="9">
        <v>1</v>
      </c>
      <c r="I19" s="10">
        <v>0.625</v>
      </c>
      <c r="J19" s="9">
        <v>1</v>
      </c>
      <c r="K19" s="9">
        <v>1</v>
      </c>
      <c r="L19" s="9">
        <v>1</v>
      </c>
      <c r="M19" s="9">
        <v>1</v>
      </c>
      <c r="N19" s="10">
        <v>0.625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11">
        <v>1.6</v>
      </c>
      <c r="V19" s="9">
        <v>1</v>
      </c>
      <c r="W19" s="11">
        <v>1.6</v>
      </c>
      <c r="X19" s="10">
        <v>0.625</v>
      </c>
      <c r="Y19" s="12">
        <v>1</v>
      </c>
      <c r="Z19" s="1">
        <v>1</v>
      </c>
    </row>
    <row r="20" spans="1:26" x14ac:dyDescent="0.3">
      <c r="A20" s="13" t="str">
        <f>[1]攻守數據!AG21</f>
        <v>水箭龜</v>
      </c>
      <c r="B20" s="13" t="str">
        <f>[1]攻守數據!AH21</f>
        <v>水</v>
      </c>
      <c r="C20" s="13" t="str">
        <f>[1]攻守數據!AI21</f>
        <v>無</v>
      </c>
      <c r="D20" s="15">
        <f>IF([1]攻守數據!AJ21 = "", "", [1]攻守數據!AJ21)</f>
        <v>27.824999999999999</v>
      </c>
      <c r="E20" s="15">
        <f>IF([1]攻守數據!AK21 = "", "", [1]攻守數據!AK21)</f>
        <v>59.325000000000003</v>
      </c>
      <c r="G20" s="1" t="s">
        <v>19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</row>
    <row r="21" spans="1:26" x14ac:dyDescent="0.3">
      <c r="A21" s="13" t="str">
        <f>[1]攻守數據!AG22</f>
        <v>閃電鳥</v>
      </c>
      <c r="B21" s="13" t="str">
        <f>[1]攻守數據!AH22</f>
        <v>電</v>
      </c>
      <c r="C21" s="13" t="str">
        <f>[1]攻守數據!AI22</f>
        <v>飛行</v>
      </c>
      <c r="D21" s="15">
        <f>IF([1]攻守數據!AJ22 = "", "", [1]攻守數據!AJ22)</f>
        <v>27.65</v>
      </c>
      <c r="E21" s="15">
        <f>IF([1]攻守數據!AK22 = "", "", [1]攻守數據!AK22)</f>
        <v>56.09</v>
      </c>
    </row>
    <row r="22" spans="1:26" x14ac:dyDescent="0.3">
      <c r="A22" s="13" t="str">
        <f>[1]攻守數據!AG23</f>
        <v>轟擂金剛猩</v>
      </c>
      <c r="B22" s="13" t="str">
        <f>[1]攻守數據!AH23</f>
        <v>草</v>
      </c>
      <c r="C22" s="13" t="str">
        <f>[1]攻守數據!AI23</f>
        <v>無</v>
      </c>
      <c r="D22" s="15">
        <f>IF([1]攻守數據!AJ23 = "", "", [1]攻守數據!AJ23)</f>
        <v>28.86</v>
      </c>
      <c r="E22" s="15">
        <f>IF([1]攻守數據!AK23 = "", "", [1]攻守數據!AK23)</f>
        <v>55.5</v>
      </c>
    </row>
    <row r="23" spans="1:26" x14ac:dyDescent="0.3">
      <c r="A23" s="13" t="str">
        <f>[1]攻守數據!AG24</f>
        <v>火焰鳥</v>
      </c>
      <c r="B23" s="13" t="str">
        <f>[1]攻守數據!AH24</f>
        <v>火</v>
      </c>
      <c r="C23" s="13" t="str">
        <f>[1]攻守數據!AI24</f>
        <v>飛行</v>
      </c>
      <c r="D23" s="15">
        <f>IF([1]攻守數據!AJ24 = "", "", [1]攻守數據!AJ24)</f>
        <v>26.95</v>
      </c>
      <c r="E23" s="15">
        <f>IF([1]攻守數據!AK24 = "", "", [1]攻守數據!AK24)</f>
        <v>54.67</v>
      </c>
    </row>
    <row r="24" spans="1:26" x14ac:dyDescent="0.3">
      <c r="A24" s="13" t="str">
        <f>[1]攻守數據!AG25</f>
        <v>投擲猴</v>
      </c>
      <c r="B24" s="13" t="str">
        <f>[1]攻守數據!AH25</f>
        <v>格鬥</v>
      </c>
      <c r="C24" s="13" t="str">
        <f>[1]攻守數據!AI25</f>
        <v>無</v>
      </c>
      <c r="D24" s="15">
        <f>IF([1]攻守數據!AJ25 = "", "", [1]攻守數據!AJ25)</f>
        <v>26.082000000000001</v>
      </c>
      <c r="E24" s="15">
        <f>IF([1]攻守數據!AK25 = "", "", [1]攻守數據!AK25)</f>
        <v>50.921999999999997</v>
      </c>
    </row>
    <row r="25" spans="1:26" x14ac:dyDescent="0.3">
      <c r="A25" s="13" t="str">
        <f>[1]攻守數據!AG26</f>
        <v>妙蛙花</v>
      </c>
      <c r="B25" s="13" t="str">
        <f>[1]攻守數據!AH26</f>
        <v>草</v>
      </c>
      <c r="C25" s="13" t="str">
        <f>[1]攻守數據!AI26</f>
        <v>毒</v>
      </c>
      <c r="D25" s="15">
        <f>IF([1]攻守數據!AJ26 = "", "", [1]攻守數據!AJ26)</f>
        <v>26.082000000000001</v>
      </c>
      <c r="E25" s="15">
        <f>IF([1]攻守數據!AK26 = "", "", [1]攻守數據!AK26)</f>
        <v>55.061999999999998</v>
      </c>
    </row>
    <row r="26" spans="1:26" x14ac:dyDescent="0.3">
      <c r="A26" s="13" t="str">
        <f>[1]攻守數據!AG27</f>
        <v>毛毛角羊</v>
      </c>
      <c r="B26" s="13" t="str">
        <f>[1]攻守數據!AH27</f>
        <v>一般</v>
      </c>
      <c r="C26" s="13" t="str">
        <f>[1]攻守數據!AI27</f>
        <v>無</v>
      </c>
      <c r="D26" s="15">
        <f>IF([1]攻守數據!AJ27 = "", "", [1]攻守數據!AJ27)</f>
        <v>24.882999999999999</v>
      </c>
      <c r="E26" s="15">
        <f>IF([1]攻守數據!AK27 = "", "", [1]攻守數據!AK27)</f>
        <v>54.942999999999998</v>
      </c>
    </row>
    <row r="27" spans="1:26" x14ac:dyDescent="0.3">
      <c r="A27" s="13" t="str">
        <f>[1]攻守數據!AG28</f>
        <v>多刺菊石獸</v>
      </c>
      <c r="B27" s="13" t="str">
        <f>[1]攻守數據!AH28</f>
        <v>岩石</v>
      </c>
      <c r="C27" s="13" t="str">
        <f>[1]攻守數據!AI28</f>
        <v>水</v>
      </c>
      <c r="D27" s="15">
        <f>IF([1]攻守數據!AJ28 = "", "", [1]攻守數據!AJ28)</f>
        <v>25.456</v>
      </c>
      <c r="E27" s="15">
        <f>IF([1]攻守數據!AK28 = "", "", [1]攻守數據!AK28)</f>
        <v>56.415999999999997</v>
      </c>
    </row>
    <row r="28" spans="1:26" x14ac:dyDescent="0.3">
      <c r="A28" s="13" t="str">
        <f>[1]攻守數據!AG29</f>
        <v>壺壺</v>
      </c>
      <c r="B28" s="13" t="str">
        <f>[1]攻守數據!AH29</f>
        <v>岩石</v>
      </c>
      <c r="C28" s="13" t="str">
        <f>[1]攻守數據!AI29</f>
        <v>蟲</v>
      </c>
      <c r="D28" s="15">
        <f>IF([1]攻守數據!AJ29 = "", "", [1]攻守數據!AJ29)</f>
        <v>33.659999999999997</v>
      </c>
      <c r="E28" s="15">
        <f>IF([1]攻守數據!AK29 = "", "", [1]攻守數據!AK29)</f>
        <v>104.94</v>
      </c>
    </row>
    <row r="29" spans="1:26" x14ac:dyDescent="0.3">
      <c r="A29" s="13" t="str">
        <f>[1]攻守數據!AG30</f>
        <v>怪力</v>
      </c>
      <c r="B29" s="13" t="str">
        <f>[1]攻守數據!AH30</f>
        <v>格鬥</v>
      </c>
      <c r="C29" s="13" t="str">
        <f>[1]攻守數據!AI30</f>
        <v>無</v>
      </c>
      <c r="D29" s="15">
        <f>IF([1]攻守數據!AJ30 = "", "", [1]攻守數據!AJ30)</f>
        <v>25.38</v>
      </c>
      <c r="E29" s="15">
        <f>IF([1]攻守數據!AK30 = "", "", [1]攻守數據!AK30)</f>
        <v>50.76</v>
      </c>
    </row>
    <row r="30" spans="1:26" x14ac:dyDescent="0.3">
      <c r="A30" s="13" t="str">
        <f>[1]攻守數據!AG31</f>
        <v>噴火龍</v>
      </c>
      <c r="B30" s="13" t="str">
        <f>[1]攻守數據!AH31</f>
        <v>火</v>
      </c>
      <c r="C30" s="13" t="str">
        <f>[1]攻守數據!AI31</f>
        <v>飛行</v>
      </c>
      <c r="D30" s="15">
        <f>IF([1]攻守數據!AJ31 = "", "", [1]攻守數據!AJ31)</f>
        <v>22.62</v>
      </c>
      <c r="E30" s="15">
        <f>IF([1]攻守數據!AK31 = "", "", [1]攻守數據!AK31)</f>
        <v>48.72</v>
      </c>
    </row>
    <row r="31" spans="1:26" x14ac:dyDescent="0.3">
      <c r="A31" s="13" t="str">
        <f>[1]攻守數據!AG32</f>
        <v>龍頭地鼠</v>
      </c>
      <c r="B31" s="13" t="str">
        <f>[1]攻守數據!AH32</f>
        <v>地面</v>
      </c>
      <c r="C31" s="13" t="str">
        <f>[1]攻守數據!AI32</f>
        <v>鋼</v>
      </c>
      <c r="D31" s="15">
        <f>IF([1]攻守數據!AJ32 = "", "", [1]攻守數據!AJ32)</f>
        <v>24.452999999999999</v>
      </c>
      <c r="E31" s="15">
        <f>IF([1]攻守數據!AK32 = "", "", [1]攻守數據!AK32)</f>
        <v>45.512999999999998</v>
      </c>
    </row>
    <row r="32" spans="1:26" x14ac:dyDescent="0.3">
      <c r="A32" s="13" t="str">
        <f>[1]攻守數據!AG33</f>
        <v>灰塵山</v>
      </c>
      <c r="B32" s="13" t="str">
        <f>[1]攻守數據!AH33</f>
        <v>毒</v>
      </c>
      <c r="C32" s="13" t="str">
        <f>[1]攻守數據!AI33</f>
        <v>無</v>
      </c>
      <c r="D32" s="15">
        <f>IF([1]攻守數據!AJ33 = "", "", [1]攻守數據!AJ33)</f>
        <v>22.68</v>
      </c>
      <c r="E32" s="15">
        <f>IF([1]攻守數據!AK33 = "", "", [1]攻守數據!AK33)</f>
        <v>47.88</v>
      </c>
    </row>
    <row r="33" spans="1:5" x14ac:dyDescent="0.3">
      <c r="A33" s="13" t="str">
        <f>[1]攻守數據!AG34</f>
        <v>閃焰王牌</v>
      </c>
      <c r="B33" s="13" t="str">
        <f>[1]攻守數據!AH34</f>
        <v>火</v>
      </c>
      <c r="C33" s="13" t="str">
        <f>[1]攻守數據!AI34</f>
        <v>無</v>
      </c>
      <c r="D33" s="15">
        <f>IF([1]攻守數據!AJ34 = "", "", [1]攻守數據!AJ34)</f>
        <v>24.36</v>
      </c>
      <c r="E33" s="15">
        <f>IF([1]攻守數據!AK34 = "", "", [1]攻守數據!AK34)</f>
        <v>50.46</v>
      </c>
    </row>
    <row r="34" spans="1:5" x14ac:dyDescent="0.3">
      <c r="A34" s="13" t="str">
        <f>[1]攻守數據!AG35</f>
        <v>吼鯨王</v>
      </c>
      <c r="B34" s="13" t="str">
        <f>[1]攻守數據!AH35</f>
        <v>水</v>
      </c>
      <c r="C34" s="13" t="str">
        <f>[1]攻守數據!AI35</f>
        <v>無</v>
      </c>
      <c r="D34" s="15">
        <f>IF([1]攻守數據!AJ35 = "", "", [1]攻守數據!AJ35)</f>
        <v>22.88</v>
      </c>
      <c r="E34" s="15">
        <f>IF([1]攻守數據!AK35 = "", "", [1]攻守數據!AK35)</f>
        <v>37.28</v>
      </c>
    </row>
    <row r="35" spans="1:5" x14ac:dyDescent="0.3">
      <c r="A35" s="13" t="str">
        <f>[1]攻守數據!AG36</f>
        <v>鐮刀盔</v>
      </c>
      <c r="B35" s="13" t="str">
        <f>[1]攻守數據!AH36</f>
        <v>水</v>
      </c>
      <c r="C35" s="13" t="str">
        <f>[1]攻守數據!AI36</f>
        <v>岩石</v>
      </c>
      <c r="D35" s="15">
        <f>IF([1]攻守數據!AJ36 = "", "", [1]攻守數據!AJ36)</f>
        <v>21.172000000000001</v>
      </c>
      <c r="E35" s="15">
        <f>IF([1]攻守數據!AK36 = "", "", [1]攻守數據!AK36)</f>
        <v>49.612000000000002</v>
      </c>
    </row>
    <row r="36" spans="1:5" x14ac:dyDescent="0.3">
      <c r="A36" s="13" t="str">
        <f>[1]攻守數據!AG37</f>
        <v>高傲雉雞</v>
      </c>
      <c r="B36" s="13" t="str">
        <f>[1]攻守數據!AH37</f>
        <v>一般</v>
      </c>
      <c r="C36" s="13" t="str">
        <f>[1]攻守數據!AI37</f>
        <v>飛行</v>
      </c>
      <c r="D36" s="15">
        <f>IF([1]攻守數據!AJ37 = "", "", [1]攻守數據!AJ37)</f>
        <v>20.32</v>
      </c>
      <c r="E36" s="15">
        <f>IF([1]攻守數據!AK37 = "", "", [1]攻守數據!AK37)</f>
        <v>43.18</v>
      </c>
    </row>
    <row r="37" spans="1:5" x14ac:dyDescent="0.3">
      <c r="A37" s="13" t="str">
        <f>[1]攻守數據!AG38</f>
        <v>列陣兵</v>
      </c>
      <c r="B37" s="13" t="str">
        <f>[1]攻守數據!AH38</f>
        <v>格鬥</v>
      </c>
      <c r="C37" s="13" t="str">
        <f>[1]攻守數據!AI38</f>
        <v>無</v>
      </c>
      <c r="D37" s="15">
        <f>IF([1]攻守數據!AJ38 = "", "", [1]攻守數據!AJ38)</f>
        <v>20.440000000000001</v>
      </c>
      <c r="E37" s="15">
        <f>IF([1]攻守數據!AK38 = "", "", [1]攻守數據!AK38)</f>
        <v>46.72</v>
      </c>
    </row>
    <row r="38" spans="1:5" x14ac:dyDescent="0.3">
      <c r="A38" s="13" t="str">
        <f>[1]攻守數據!AG39</f>
        <v>布莉姆溫</v>
      </c>
      <c r="B38" s="13" t="str">
        <f>[1]攻守數據!AH39</f>
        <v>妖精</v>
      </c>
      <c r="C38" s="13" t="str">
        <f>[1]攻守數據!AI39</f>
        <v>超能力</v>
      </c>
      <c r="D38" s="15">
        <f>IF([1]攻守數據!AJ39 = "", "", [1]攻守數據!AJ39)</f>
        <v>19.84</v>
      </c>
      <c r="E38" s="15">
        <f>IF([1]攻守數據!AK39 = "", "", [1]攻守數據!AK39)</f>
        <v>47.74</v>
      </c>
    </row>
    <row r="39" spans="1:5" x14ac:dyDescent="0.3">
      <c r="A39" s="13" t="str">
        <f>[1]攻守數據!AG40</f>
        <v>狒狒達摩</v>
      </c>
      <c r="B39" s="13" t="str">
        <f>[1]攻守數據!AH40</f>
        <v>火</v>
      </c>
      <c r="C39" s="13" t="str">
        <f>[1]攻守數據!AI40</f>
        <v>無</v>
      </c>
      <c r="D39" s="15">
        <f>IF([1]攻守數據!AJ40 = "", "", [1]攻守數據!AJ40)</f>
        <v>19.3</v>
      </c>
      <c r="E39" s="15">
        <f>IF([1]攻守數據!AK40 = "", "", [1]攻守數據!AK40)</f>
        <v>37.299999999999997</v>
      </c>
    </row>
    <row r="40" spans="1:5" x14ac:dyDescent="0.3">
      <c r="A40" s="13" t="str">
        <f>[1]攻守數據!AG41</f>
        <v>巨鉗蟹</v>
      </c>
      <c r="B40" s="13" t="str">
        <f>[1]攻守數據!AH41</f>
        <v>水</v>
      </c>
      <c r="C40" s="13" t="str">
        <f>[1]攻守數據!AI41</f>
        <v>無</v>
      </c>
      <c r="D40" s="15">
        <f>IF([1]攻守數據!AJ41 = "", "", [1]攻守數據!AJ41)</f>
        <v>19.431000000000001</v>
      </c>
      <c r="E40" s="15">
        <f>IF([1]攻守數據!AK41 = "", "", [1]攻守數據!AK41)</f>
        <v>46.970999999999997</v>
      </c>
    </row>
    <row r="41" spans="1:5" x14ac:dyDescent="0.3">
      <c r="A41" s="13" t="str">
        <f>[1]攻守數據!AG42</f>
        <v>顫弦蠑螈</v>
      </c>
      <c r="B41" s="13" t="str">
        <f>[1]攻守數據!AH42</f>
        <v>電</v>
      </c>
      <c r="C41" s="13" t="str">
        <f>[1]攻守數據!AI42</f>
        <v>毒</v>
      </c>
      <c r="D41" s="15">
        <f>IF([1]攻守數據!AJ42 = "", "", [1]攻守數據!AJ42)</f>
        <v>18.634</v>
      </c>
      <c r="E41" s="15">
        <f>IF([1]攻守數據!AK42 = "", "", [1]攻守數據!AK42)</f>
        <v>40.414000000000001</v>
      </c>
    </row>
    <row r="42" spans="1:5" x14ac:dyDescent="0.3">
      <c r="A42" s="13" t="str">
        <f>[1]攻守數據!AG43</f>
        <v>千面避役</v>
      </c>
      <c r="B42" s="13" t="str">
        <f>[1]攻守數據!AH43</f>
        <v>水</v>
      </c>
      <c r="C42" s="13" t="str">
        <f>[1]攻守數據!AI43</f>
        <v>無</v>
      </c>
      <c r="D42" s="15">
        <f>IF([1]攻守數據!AJ43 = "", "", [1]攻守數據!AJ43)</f>
        <v>19.303999999999998</v>
      </c>
      <c r="E42" s="15">
        <f>IF([1]攻守數據!AK43 = "", "", [1]攻守數據!AK43)</f>
        <v>42.164000000000001</v>
      </c>
    </row>
    <row r="43" spans="1:5" x14ac:dyDescent="0.3">
      <c r="A43" s="13" t="str">
        <f>[1]攻守數據!AG44</f>
        <v>耿鬼</v>
      </c>
      <c r="B43" s="13" t="str">
        <f>[1]攻守數據!AH44</f>
        <v>幽靈</v>
      </c>
      <c r="C43" s="13" t="str">
        <f>[1]攻守數據!AI44</f>
        <v>毒</v>
      </c>
      <c r="D43" s="15">
        <f>IF([1]攻守數據!AJ44 = "", "", [1]攻守數據!AJ44)</f>
        <v>18.224</v>
      </c>
      <c r="E43" s="15">
        <f>IF([1]攻守數據!AK44 = "", "", [1]攻守數據!AK44)</f>
        <v>42.344000000000001</v>
      </c>
    </row>
    <row r="44" spans="1:5" x14ac:dyDescent="0.3">
      <c r="A44" s="13" t="str">
        <f>[1]攻守數據!AG45</f>
        <v>巴大蝶</v>
      </c>
      <c r="B44" s="13" t="str">
        <f>[1]攻守數據!AH45</f>
        <v>蟲</v>
      </c>
      <c r="C44" s="13" t="str">
        <f>[1]攻守數據!AI45</f>
        <v>飛行</v>
      </c>
      <c r="D44" s="15">
        <f>IF([1]攻守數據!AJ45 = "", "", [1]攻守數據!AJ45)</f>
        <v>15.827</v>
      </c>
      <c r="E44" s="15">
        <f>IF([1]攻守數據!AK45 = "", "", [1]攻守數據!AK45)</f>
        <v>37.247</v>
      </c>
    </row>
    <row r="45" spans="1:5" x14ac:dyDescent="0.3">
      <c r="A45" s="13" t="str">
        <f>[1]攻守數據!AG46</f>
        <v>勾魂眼</v>
      </c>
      <c r="B45" s="13" t="str">
        <f>[1]攻守數據!AH46</f>
        <v>幽靈</v>
      </c>
      <c r="C45" s="13" t="str">
        <f>[1]攻守數據!AI46</f>
        <v>惡</v>
      </c>
      <c r="D45" s="15">
        <f>IF([1]攻守數據!AJ46 = "", "", [1]攻守數據!AJ46)</f>
        <v>13.688000000000001</v>
      </c>
      <c r="E45" s="15">
        <f>IF([1]攻守數據!AK46 = "", "", [1]攻守數據!AK46)</f>
        <v>34.567999999999998</v>
      </c>
    </row>
    <row r="46" spans="1:5" x14ac:dyDescent="0.3">
      <c r="A46" s="13" t="str">
        <f>[1]攻守數據!AG47</f>
        <v>胡地</v>
      </c>
      <c r="B46" s="13" t="str">
        <f>[1]攻守數據!AH47</f>
        <v>超能力</v>
      </c>
      <c r="C46" s="13" t="str">
        <f>[1]攻守數據!AI47</f>
        <v>無</v>
      </c>
      <c r="D46" s="15">
        <f>IF([1]攻守數據!AJ47 = "", "", [1]攻守數據!AJ47)</f>
        <v>18.288</v>
      </c>
      <c r="E46" s="15">
        <f>IF([1]攻守數據!AK47 = "", "", [1]攻守數據!AK47)</f>
        <v>44.207999999999998</v>
      </c>
    </row>
    <row r="47" spans="1:5" x14ac:dyDescent="0.3">
      <c r="A47" s="13" t="str">
        <f>[1]攻守數據!AG48</f>
        <v>鋁鋼龍</v>
      </c>
      <c r="B47" s="13" t="str">
        <f>[1]攻守數據!AH48</f>
        <v>鋼</v>
      </c>
      <c r="C47" s="13" t="str">
        <f>[1]攻守數據!AI48</f>
        <v>龍</v>
      </c>
      <c r="D47" s="15">
        <f>IF([1]攻守數據!AJ48 = "", "", [1]攻守數據!AJ48)</f>
        <v>23.225999999999999</v>
      </c>
      <c r="E47" s="15">
        <f>IF([1]攻守數據!AK48 = "", "", [1]攻守數據!AK48)</f>
        <v>51.665999999999997</v>
      </c>
    </row>
    <row r="48" spans="1:5" x14ac:dyDescent="0.3">
      <c r="A48" s="13" t="str">
        <f>[1]攻守數據!AG49</f>
        <v>甜冷美后</v>
      </c>
      <c r="B48" s="13" t="str">
        <f>[1]攻守數據!AH49</f>
        <v>草</v>
      </c>
      <c r="C48" s="13" t="str">
        <f>[1]攻守數據!AI49</f>
        <v>無</v>
      </c>
      <c r="D48" s="15">
        <f>IF([1]攻守數據!AJ49 = "", "", [1]攻守數據!AJ49)</f>
        <v>24.9</v>
      </c>
      <c r="E48" s="15">
        <f>IF([1]攻守數據!AK49 = "", "", [1]攻守數據!AK49)</f>
        <v>54.78</v>
      </c>
    </row>
    <row r="49" spans="1:5" x14ac:dyDescent="0.3">
      <c r="A49" s="13" t="str">
        <f>[1]攻守數據!AG50</f>
        <v>沙奈朵</v>
      </c>
      <c r="B49" s="13" t="str">
        <f>[1]攻守數據!AH50</f>
        <v>超能力</v>
      </c>
      <c r="C49" s="13" t="str">
        <f>[1]攻守數據!AI50</f>
        <v>妖精</v>
      </c>
      <c r="D49" s="15">
        <f>IF([1]攻守數據!AJ50 = "", "", [1]攻守數據!AJ50)</f>
        <v>24.07</v>
      </c>
      <c r="E49" s="15">
        <f>IF([1]攻守數據!AK50 = "", "", [1]攻守數據!AK50)</f>
        <v>53.95</v>
      </c>
    </row>
    <row r="50" spans="1:5" x14ac:dyDescent="0.3">
      <c r="A50" s="13" t="str">
        <f>[1]攻守數據!AG51</f>
        <v>伊布</v>
      </c>
      <c r="B50" s="13" t="str">
        <f>[1]攻守數據!AH51</f>
        <v>一般</v>
      </c>
      <c r="C50" s="13" t="str">
        <f>[1]攻守數據!AI51</f>
        <v>無</v>
      </c>
      <c r="D50" s="15">
        <f>IF([1]攻守數據!AJ51 = "", "", [1]攻守數據!AJ51)</f>
        <v>12.954000000000001</v>
      </c>
      <c r="E50" s="15">
        <f>IF([1]攻守數據!AK51 = "", "", [1]攻守數據!AK51)</f>
        <v>31.314</v>
      </c>
    </row>
    <row r="51" spans="1:5" x14ac:dyDescent="0.3">
      <c r="A51" s="13" t="str">
        <f>[1]攻守數據!AG52</f>
        <v>水伊布</v>
      </c>
      <c r="B51" s="13" t="str">
        <f>[1]攻守數據!AH52</f>
        <v>水</v>
      </c>
      <c r="C51" s="13" t="str">
        <f>[1]攻守數據!AI52</f>
        <v>無</v>
      </c>
      <c r="D51" s="15">
        <f>IF([1]攻守數據!AJ52 = "", "", [1]攻守數據!AJ52)</f>
        <v>31.97</v>
      </c>
      <c r="E51" s="15">
        <f>IF([1]攻守數據!AK52 = "", "", [1]攻守數據!AK52)</f>
        <v>56.99</v>
      </c>
    </row>
    <row r="52" spans="1:5" x14ac:dyDescent="0.3">
      <c r="A52" s="13" t="str">
        <f>[1]攻守數據!AG53</f>
        <v>雷伊布</v>
      </c>
      <c r="B52" s="13" t="str">
        <f>[1]攻守數據!AH53</f>
        <v>電</v>
      </c>
      <c r="C52" s="13" t="str">
        <f>[1]攻守數據!AI53</f>
        <v>無</v>
      </c>
      <c r="D52" s="15">
        <f>IF([1]攻守數據!AJ53 = "", "", [1]攻守數據!AJ53)</f>
        <v>21.84</v>
      </c>
      <c r="E52" s="15">
        <f>IF([1]攻守數據!AK53 = "", "", [1]攻守數據!AK53)</f>
        <v>49.92</v>
      </c>
    </row>
    <row r="53" spans="1:5" x14ac:dyDescent="0.3">
      <c r="A53" s="13" t="str">
        <f>[1]攻守數據!AG54</f>
        <v>火伊布</v>
      </c>
      <c r="B53" s="13" t="str">
        <f>[1]攻守數據!AH54</f>
        <v>火</v>
      </c>
      <c r="C53" s="13" t="str">
        <f>[1]攻守數據!AI54</f>
        <v>無</v>
      </c>
      <c r="D53" s="15">
        <f>IF([1]攻守數據!AJ54 = "", "", [1]攻守數據!AJ54)</f>
        <v>21.42</v>
      </c>
      <c r="E53" s="15">
        <f>IF([1]攻守數據!AK54 = "", "", [1]攻守數據!AK54)</f>
        <v>48.96</v>
      </c>
    </row>
    <row r="54" spans="1:5" x14ac:dyDescent="0.3">
      <c r="A54" s="13" t="str">
        <f>[1]攻守數據!AG55</f>
        <v>太陽伊布</v>
      </c>
      <c r="B54" s="13" t="str">
        <f>[1]攻守數據!AH55</f>
        <v>超能力</v>
      </c>
      <c r="C54" s="13" t="str">
        <f>[1]攻守數據!AI55</f>
        <v>無</v>
      </c>
      <c r="D54" s="15">
        <f>IF([1]攻守數據!AJ55 = "", "", [1]攻守數據!AJ55)</f>
        <v>21</v>
      </c>
      <c r="E54" s="15">
        <f>IF([1]攻守數據!AK55 = "", "", [1]攻守數據!AK55)</f>
        <v>48</v>
      </c>
    </row>
    <row r="55" spans="1:5" x14ac:dyDescent="0.3">
      <c r="A55" s="13" t="str">
        <f>[1]攻守數據!AG56</f>
        <v>月亮伊布</v>
      </c>
      <c r="B55" s="13" t="str">
        <f>[1]攻守數據!AH56</f>
        <v>惡</v>
      </c>
      <c r="C55" s="13" t="str">
        <f>[1]攻守數據!AI56</f>
        <v>無</v>
      </c>
      <c r="D55" s="15">
        <f>IF([1]攻守數據!AJ56 = "", "", [1]攻守數據!AJ56)</f>
        <v>36.764000000000003</v>
      </c>
      <c r="E55" s="15">
        <f>IF([1]攻守數據!AK56 = "", "", [1]攻守數據!AK56)</f>
        <v>73.123999999999995</v>
      </c>
    </row>
    <row r="56" spans="1:5" x14ac:dyDescent="0.3">
      <c r="A56" s="13" t="str">
        <f>[1]攻守數據!AG57</f>
        <v>葉伊布</v>
      </c>
      <c r="B56" s="13" t="str">
        <f>[1]攻守數據!AH57</f>
        <v>草</v>
      </c>
      <c r="C56" s="13" t="str">
        <f>[1]攻守數據!AI57</f>
        <v>無</v>
      </c>
      <c r="D56" s="15">
        <f>IF([1]攻守數據!AJ57 = "", "", [1]攻守數據!AJ57)</f>
        <v>25.9</v>
      </c>
      <c r="E56" s="15">
        <f>IF([1]攻守數據!AK57 = "", "", [1]攻守數據!AK57)</f>
        <v>59.2</v>
      </c>
    </row>
    <row r="57" spans="1:5" x14ac:dyDescent="0.3">
      <c r="A57" s="13" t="str">
        <f>[1]攻守數據!AG58</f>
        <v>冰伊布</v>
      </c>
      <c r="B57" s="13" t="str">
        <f>[1]攻守數據!AH58</f>
        <v>冰</v>
      </c>
      <c r="C57" s="13" t="str">
        <f>[1]攻守數據!AI58</f>
        <v>無</v>
      </c>
      <c r="D57" s="15">
        <f>IF([1]攻守數據!AJ58 = "", "", [1]攻守數據!AJ58)</f>
        <v>24.36</v>
      </c>
      <c r="E57" s="15">
        <f>IF([1]攻守數據!AK58 = "", "", [1]攻守數據!AK58)</f>
        <v>55.68</v>
      </c>
    </row>
    <row r="58" spans="1:5" x14ac:dyDescent="0.3">
      <c r="A58" s="13" t="str">
        <f>[1]攻守數據!AG59</f>
        <v>仙子伊布</v>
      </c>
      <c r="B58" s="13" t="str">
        <f>[1]攻守數據!AH59</f>
        <v>妖精</v>
      </c>
      <c r="C58" s="13" t="str">
        <f>[1]攻守數據!AI59</f>
        <v>無</v>
      </c>
      <c r="D58" s="15">
        <f>IF([1]攻守數據!AJ59 = "", "", [1]攻守數據!AJ59)</f>
        <v>31.486000000000001</v>
      </c>
      <c r="E58" s="15">
        <f>IF([1]攻守數據!AK59 = "", "", [1]攻守數據!AK59)</f>
        <v>62.625999999999998</v>
      </c>
    </row>
    <row r="59" spans="1:5" x14ac:dyDescent="0.3">
      <c r="A59" s="13" t="str">
        <f>[1]攻守數據!AG60</f>
        <v>艾路雷朵</v>
      </c>
      <c r="B59" s="13" t="str">
        <f>[1]攻守數據!AH60</f>
        <v>超能力</v>
      </c>
      <c r="C59" s="13" t="str">
        <f>[1]攻守數據!AI60</f>
        <v>格鬥</v>
      </c>
      <c r="D59" s="15">
        <f>IF([1]攻守數據!AJ60 = "", "", [1]攻守數據!AJ60)</f>
        <v>24.07</v>
      </c>
      <c r="E59" s="15">
        <f>IF([1]攻守數據!AK60 = "", "", [1]攻守數據!AK60)</f>
        <v>53.95</v>
      </c>
    </row>
    <row r="60" spans="1:5" x14ac:dyDescent="0.3">
      <c r="A60" s="13" t="str">
        <f>[1]攻守數據!AG61</f>
        <v>烏賊王</v>
      </c>
      <c r="B60" s="13" t="str">
        <f>[1]攻守數據!AH61</f>
        <v>惡</v>
      </c>
      <c r="C60" s="13" t="str">
        <f>[1]攻守數據!AI61</f>
        <v>超能力</v>
      </c>
      <c r="D60" s="15">
        <f>IF([1]攻守數據!AJ61 = "", "", [1]攻守數據!AJ61)</f>
        <v>23.998000000000001</v>
      </c>
      <c r="E60" s="15">
        <f>IF([1]攻守數據!AK61 = "", "", [1]攻守數據!AK61)</f>
        <v>49.558</v>
      </c>
    </row>
    <row r="61" spans="1:5" x14ac:dyDescent="0.3">
      <c r="A61" s="13" t="str">
        <f>[1]攻守數據!AG62</f>
        <v>心蝙蝠</v>
      </c>
      <c r="B61" s="13" t="str">
        <f>[1]攻守數據!AH62</f>
        <v>超能力</v>
      </c>
      <c r="C61" s="13" t="str">
        <f>[1]攻守數據!AI62</f>
        <v>飛行</v>
      </c>
      <c r="D61" s="15">
        <f>IF([1]攻守數據!AJ62 = "", "", [1]攻守數據!AJ62)</f>
        <v>15.157999999999999</v>
      </c>
      <c r="E61" s="15">
        <f>IF([1]攻守數據!AK62 = "", "", [1]攻守數據!AK62)</f>
        <v>34.238</v>
      </c>
    </row>
    <row r="62" spans="1:5" x14ac:dyDescent="0.3">
      <c r="A62" s="13" t="str">
        <f>[1]攻守數據!AG63</f>
        <v>洛奇亞</v>
      </c>
      <c r="B62" s="13" t="str">
        <f>[1]攻守數據!AH63</f>
        <v>超能力</v>
      </c>
      <c r="C62" s="13" t="str">
        <f>[1]攻守數據!AI63</f>
        <v>飛行</v>
      </c>
      <c r="D62" s="15">
        <f>IF([1]攻守數據!AJ63 = "", "", [1]攻守數據!AJ63)</f>
        <v>50.628999999999998</v>
      </c>
      <c r="E62" s="15">
        <f>IF([1]攻守數據!AK63 = "", "", [1]攻守數據!AK63)</f>
        <v>96.888999999999996</v>
      </c>
    </row>
    <row r="63" spans="1:5" x14ac:dyDescent="0.3">
      <c r="A63" s="13" t="str">
        <f>[1]攻守數據!AG64</f>
        <v>飛腿郎</v>
      </c>
      <c r="B63" s="13" t="str">
        <f>[1]攻守數據!AH64</f>
        <v>格鬥</v>
      </c>
      <c r="C63" s="13" t="str">
        <f>[1]攻守數據!AI64</f>
        <v>無</v>
      </c>
      <c r="D63" s="15">
        <f>IF([1]攻守數據!AJ64 = "", "", [1]攻守數據!AJ64)</f>
        <v>18.600000000000001</v>
      </c>
      <c r="E63" s="15">
        <f>IF([1]攻守數據!AK64 = "", "", [1]攻守數據!AK64)</f>
        <v>46.5</v>
      </c>
    </row>
    <row r="64" spans="1:5" x14ac:dyDescent="0.3">
      <c r="A64" s="13" t="str">
        <f>[1]攻守數據!AG65</f>
        <v>快拳郎</v>
      </c>
      <c r="B64" s="13" t="str">
        <f>[1]攻守數據!AH65</f>
        <v>格鬥</v>
      </c>
      <c r="C64" s="13" t="str">
        <f>[1]攻守數據!AI65</f>
        <v>無</v>
      </c>
      <c r="D64" s="15">
        <f>IF([1]攻守數據!AJ65 = "", "", [1]攻守數據!AJ65)</f>
        <v>20.16</v>
      </c>
      <c r="E64" s="15">
        <f>IF([1]攻守數據!AK65 = "", "", [1]攻守數據!AK65)</f>
        <v>50.4</v>
      </c>
    </row>
    <row r="65" spans="1:5" x14ac:dyDescent="0.3">
      <c r="A65" s="13" t="str">
        <f>[1]攻守數據!AG66</f>
        <v>帝牙海獅</v>
      </c>
      <c r="B65" s="13" t="str">
        <f>[1]攻守數據!AH66</f>
        <v>水</v>
      </c>
      <c r="C65" s="13" t="str">
        <f>[1]攻守數據!AI66</f>
        <v>冰</v>
      </c>
      <c r="D65" s="15">
        <f>IF([1]攻守數據!AJ66 = "", "", [1]攻守數據!AJ66)</f>
        <v>30.652999999999999</v>
      </c>
      <c r="E65" s="15">
        <f>IF([1]攻守數據!AK66 = "", "", [1]攻守數據!AK66)</f>
        <v>57.832999999999998</v>
      </c>
    </row>
    <row r="66" spans="1:5" x14ac:dyDescent="0.3">
      <c r="A66" s="14" t="str">
        <f>IF([1]攻守數據!AG67 = "", "", [1]攻守數據!AG67)</f>
        <v>龐岩怪</v>
      </c>
      <c r="B66" s="14" t="str">
        <f>IF([1]攻守數據!AH67 = "", "", [1]攻守數據!AH67)</f>
        <v>岩石</v>
      </c>
      <c r="C66" s="14" t="str">
        <f>IF([1]攻守數據!AI67 = "", "", [1]攻守數據!AI67)</f>
        <v>無</v>
      </c>
      <c r="D66" s="15">
        <f>IF([1]攻守數據!AJ67 = "", "", [1]攻守數據!AJ67)</f>
        <v>28.728000000000002</v>
      </c>
      <c r="E66" s="15">
        <f>IF([1]攻守數據!AK67 = "", "", [1]攻守數據!AK67)</f>
        <v>59.508000000000003</v>
      </c>
    </row>
    <row r="67" spans="1:5" x14ac:dyDescent="0.3">
      <c r="A67" s="14" t="str">
        <f>IF([1]攻守數據!AG68 = "", "", [1]攻守數據!AG68)</f>
        <v>老翁龍</v>
      </c>
      <c r="B67" s="14" t="str">
        <f>IF([1]攻守數據!AH68 = "", "", [1]攻守數據!AH68)</f>
        <v>龍</v>
      </c>
      <c r="C67" s="14" t="str">
        <f>IF([1]攻守數據!AI68 = "", "", [1]攻守數據!AI68)</f>
        <v>一般</v>
      </c>
      <c r="D67" s="15">
        <f>IF([1]攻守數據!AJ68 = "", "", [1]攻守數據!AJ68)</f>
        <v>22.277999999999999</v>
      </c>
      <c r="E67" s="15">
        <f>IF([1]攻守數據!AK68 = "", "", [1]攻守數據!AK68)</f>
        <v>47.658000000000001</v>
      </c>
    </row>
    <row r="68" spans="1:5" x14ac:dyDescent="0.3">
      <c r="A68" s="14" t="str">
        <f>IF([1]攻守數據!AG69 = "", "", [1]攻守數據!AG69)</f>
        <v>鳳王</v>
      </c>
      <c r="B68" s="14" t="str">
        <f>IF([1]攻守數據!AH69 = "", "", [1]攻守數據!AH69)</f>
        <v>飛行</v>
      </c>
      <c r="C68" s="14" t="str">
        <f>IF([1]攻守數據!AI69 = "", "", [1]攻守數據!AI69)</f>
        <v>火</v>
      </c>
      <c r="D68" s="15">
        <f>IF([1]攻守數據!AJ69 = "", "", [1]攻守數據!AJ69)</f>
        <v>37.44</v>
      </c>
      <c r="E68" s="15">
        <f>IF([1]攻守數據!AK69 = "", "", [1]攻守數據!AK69)</f>
        <v>74.88</v>
      </c>
    </row>
    <row r="69" spans="1:5" x14ac:dyDescent="0.3">
      <c r="A69" s="14" t="str">
        <f>IF([1]攻守數據!AG70 = "", "", [1]攻守數據!AG70)</f>
        <v>風速狗</v>
      </c>
      <c r="B69" s="14" t="str">
        <f>IF([1]攻守數據!AH70 = "", "", [1]攻守數據!AH70)</f>
        <v>火</v>
      </c>
      <c r="C69" s="14" t="str">
        <f>IF([1]攻守數據!AI70 = "", "", [1]攻守數據!AI70)</f>
        <v>無</v>
      </c>
      <c r="D69" s="15">
        <f>IF([1]攻守數據!AJ70 = "", "", [1]攻守數據!AJ70)</f>
        <v>25.024999999999999</v>
      </c>
      <c r="E69" s="15">
        <f>IF([1]攻守數據!AK70 = "", "", [1]攻守數據!AK70)</f>
        <v>50.765000000000001</v>
      </c>
    </row>
    <row r="70" spans="1:5" x14ac:dyDescent="0.3">
      <c r="A70" s="14" t="str">
        <f>IF([1]攻守數據!AG71 = "", "", [1]攻守數據!AG71)</f>
        <v>固拉多</v>
      </c>
      <c r="B70" s="14" t="str">
        <f>IF([1]攻守數據!AH71 = "", "", [1]攻守數據!AH71)</f>
        <v>地面</v>
      </c>
      <c r="C70" s="14" t="str">
        <f>IF([1]攻守數據!AI71 = "", "", [1]攻守數據!AI71)</f>
        <v>無</v>
      </c>
      <c r="D70" s="15">
        <f>IF([1]攻守數據!AJ71 = "", "", [1]攻守數據!AJ71)</f>
        <v>33.216000000000001</v>
      </c>
      <c r="E70" s="15">
        <f>IF([1]攻守數據!AK71 = "", "", [1]攻守數據!AK71)</f>
        <v>67.775999999999996</v>
      </c>
    </row>
    <row r="71" spans="1:5" x14ac:dyDescent="0.3">
      <c r="A71" s="14" t="str">
        <f>IF([1]攻守數據!AG72 = "", "", [1]攻守數據!AG72)</f>
        <v>蓋歐卡</v>
      </c>
      <c r="B71" s="14" t="str">
        <f>IF([1]攻守數據!AH72 = "", "", [1]攻守數據!AH72)</f>
        <v>水</v>
      </c>
      <c r="C71" s="14" t="str">
        <f>IF([1]攻守數據!AI72 = "", "", [1]攻守數據!AI72)</f>
        <v>無</v>
      </c>
      <c r="D71" s="15">
        <f>IF([1]攻守數據!AJ72 = "", "", [1]攻守數據!AJ72)</f>
        <v>33.216000000000001</v>
      </c>
      <c r="E71" s="15">
        <f>IF([1]攻守數據!AK72 = "", "", [1]攻守數據!AK72)</f>
        <v>67.775999999999996</v>
      </c>
    </row>
    <row r="72" spans="1:5" x14ac:dyDescent="0.3">
      <c r="A72" s="14" t="str">
        <f>IF([1]攻守數據!AG73 = "", "", [1]攻守數據!AG73)</f>
        <v>烈空坐</v>
      </c>
      <c r="B72" s="14" t="str">
        <f>IF([1]攻守數據!AH73 = "", "", [1]攻守數據!AH73)</f>
        <v>龍</v>
      </c>
      <c r="C72" s="14" t="str">
        <f>IF([1]攻守數據!AI73 = "", "", [1]攻守數據!AI73)</f>
        <v>飛行</v>
      </c>
      <c r="D72" s="15">
        <f>IF([1]攻守數據!AJ73 = "", "", [1]攻守數據!AJ73)</f>
        <v>26.28</v>
      </c>
      <c r="E72" s="15">
        <f>IF([1]攻守數據!AK73 = "", "", [1]攻守數據!AK73)</f>
        <v>52.56</v>
      </c>
    </row>
    <row r="73" spans="1:5" x14ac:dyDescent="0.3">
      <c r="A73" s="14" t="str">
        <f>IF([1]攻守數據!AG74 = "", "", [1]攻守數據!AG74)</f>
        <v>喵喵</v>
      </c>
      <c r="B73" s="14" t="str">
        <f>IF([1]攻守數據!AH74 = "", "", [1]攻守數據!AH74)</f>
        <v>一般</v>
      </c>
      <c r="C73" s="14" t="str">
        <f>IF([1]攻守數據!AI74 = "", "", [1]攻守數據!AI74)</f>
        <v>無</v>
      </c>
      <c r="D73" s="15">
        <f>IF([1]攻守數據!AJ74 = "", "", [1]攻守數據!AJ74)</f>
        <v>7.7380000000000004</v>
      </c>
      <c r="E73" s="15">
        <f>IF([1]攻守數據!AK74 = "", "", [1]攻守數據!AK74)</f>
        <v>20.878</v>
      </c>
    </row>
    <row r="74" spans="1:5" x14ac:dyDescent="0.3">
      <c r="A74" s="14" t="str">
        <f>IF([1]攻守數據!AG75 = "", "", [1]攻守數據!AG75)</f>
        <v>皮卡丘</v>
      </c>
      <c r="B74" s="14" t="str">
        <f>IF([1]攻守數據!AH75 = "", "", [1]攻守數據!AH75)</f>
        <v>電</v>
      </c>
      <c r="C74" s="14" t="str">
        <f>IF([1]攻守數據!AI75 = "", "", [1]攻守數據!AI75)</f>
        <v>無</v>
      </c>
      <c r="D74" s="15">
        <f>IF([1]攻守數據!AJ75 = "", "", [1]攻守數據!AJ75)</f>
        <v>8.7119999999999997</v>
      </c>
      <c r="E74" s="15">
        <f>IF([1]攻守數據!AK75 = "", "", [1]攻守數據!AK75)</f>
        <v>24.552</v>
      </c>
    </row>
    <row r="75" spans="1:5" x14ac:dyDescent="0.3">
      <c r="A75" s="14" t="str">
        <f>IF([1]攻守數據!AG76 = "", "", [1]攻守數據!AG76)</f>
        <v>雷丘</v>
      </c>
      <c r="B75" s="14" t="str">
        <f>IF([1]攻守數據!AH76 = "", "", [1]攻守數據!AH76)</f>
        <v>電</v>
      </c>
      <c r="C75" s="14" t="str">
        <f>IF([1]攻守數據!AI76 = "", "", [1]攻守數據!AI76)</f>
        <v>無</v>
      </c>
      <c r="D75" s="15">
        <f>IF([1]攻守數據!AJ76 = "", "", [1]攻守數據!AJ76)</f>
        <v>17.553999999999998</v>
      </c>
      <c r="E75" s="15">
        <f>IF([1]攻守數據!AK76 = "", "", [1]攻守數據!AK76)</f>
        <v>41.134</v>
      </c>
    </row>
    <row r="76" spans="1:5" x14ac:dyDescent="0.3">
      <c r="A76" s="14" t="str">
        <f>IF([1]攻守數據!AG77 = "", "", [1]攻守數據!AG77)</f>
        <v>雷吉艾斯</v>
      </c>
      <c r="B76" s="14" t="str">
        <f>IF([1]攻守數據!AH77 = "", "", [1]攻守數據!AH77)</f>
        <v>冰</v>
      </c>
      <c r="C76" s="14" t="str">
        <f>IF([1]攻守數據!AI77 = "", "", [1]攻守數據!AI77)</f>
        <v>無</v>
      </c>
      <c r="D76" s="15">
        <f>IF([1]攻守數據!AJ77 = "", "", [1]攻守數據!AJ77)</f>
        <v>41.472000000000001</v>
      </c>
      <c r="E76" s="15">
        <f>IF([1]攻守數據!AK77 = "", "", [1]攻守數據!AK77)</f>
        <v>87.552000000000007</v>
      </c>
    </row>
    <row r="77" spans="1:5" x14ac:dyDescent="0.3">
      <c r="A77" s="14" t="str">
        <f>IF([1]攻守數據!AG78 = "", "", [1]攻守數據!AG78)</f>
        <v>沙漠蜻蜓</v>
      </c>
      <c r="B77" s="14" t="str">
        <f>IF([1]攻守數據!AH78 = "", "", [1]攻守數據!AH78)</f>
        <v>地面</v>
      </c>
      <c r="C77" s="14" t="str">
        <f>IF([1]攻守數據!AI78 = "", "", [1]攻守數據!AI78)</f>
        <v>龍</v>
      </c>
      <c r="D77" s="15">
        <f>IF([1]攻守數據!AJ78 = "", "", [1]攻守數據!AJ78)</f>
        <v>23.327999999999999</v>
      </c>
      <c r="E77" s="15">
        <f>IF([1]攻守數據!AK78 = "", "", [1]攻守數據!AK78)</f>
        <v>49.247999999999998</v>
      </c>
    </row>
    <row r="78" spans="1:5" x14ac:dyDescent="0.3">
      <c r="A78" s="14" t="str">
        <f>IF([1]攻守數據!AG79 = "", "", [1]攻守數據!AG79)</f>
        <v>雷吉洛克</v>
      </c>
      <c r="B78" s="14" t="str">
        <f>IF([1]攻守數據!AH79 = "", "", [1]攻守數據!AH79)</f>
        <v>岩石</v>
      </c>
      <c r="C78" s="14" t="str">
        <f>IF([1]攻守數據!AI79 = "", "", [1]攻守數據!AI79)</f>
        <v>無</v>
      </c>
      <c r="D78" s="15">
        <f>IF([1]攻守數據!AJ79 = "", "", [1]攻守數據!AJ79)</f>
        <v>41.472000000000001</v>
      </c>
      <c r="E78" s="15">
        <f>IF([1]攻守數據!AK79 = "", "", [1]攻守數據!AK79)</f>
        <v>87.552000000000007</v>
      </c>
    </row>
    <row r="79" spans="1:5" x14ac:dyDescent="0.3">
      <c r="A79" s="14" t="str">
        <f>IF([1]攻守數據!AG80 = "", "", [1]攻守數據!AG80)</f>
        <v>雷吉斯奇魯</v>
      </c>
      <c r="B79" s="14" t="str">
        <f>IF([1]攻守數據!AH80 = "", "", [1]攻守數據!AH80)</f>
        <v>鋼</v>
      </c>
      <c r="C79" s="14" t="str">
        <f>IF([1]攻守數據!AI80 = "", "", [1]攻守數據!AI80)</f>
        <v>無</v>
      </c>
      <c r="D79" s="15">
        <f>IF([1]攻守數據!AJ80 = "", "", [1]攻守數據!AJ80)</f>
        <v>38.393999999999998</v>
      </c>
      <c r="E79" s="15">
        <f>IF([1]攻守數據!AK80 = "", "", [1]攻守數據!AK80)</f>
        <v>81.054000000000002</v>
      </c>
    </row>
    <row r="80" spans="1:5" x14ac:dyDescent="0.3">
      <c r="A80" s="14" t="str">
        <f>IF([1]攻守數據!AG81 = "", "", [1]攻守數據!AG81)</f>
        <v>長毛巨魔</v>
      </c>
      <c r="B80" s="14" t="str">
        <f>IF([1]攻守數據!AH81 = "", "", [1]攻守數據!AH81)</f>
        <v>惡</v>
      </c>
      <c r="C80" s="14" t="str">
        <f>IF([1]攻守數據!AI81 = "", "", [1]攻守數據!AI81)</f>
        <v>妖精</v>
      </c>
      <c r="D80" s="15">
        <f>IF([1]攻守數據!AJ81 = "", "", [1]攻守數據!AJ81)</f>
        <v>22.204000000000001</v>
      </c>
      <c r="E80" s="15">
        <f>IF([1]攻守數據!AK81 = "", "", [1]攻守數據!AK81)</f>
        <v>44.164000000000001</v>
      </c>
    </row>
    <row r="81" spans="1:5" x14ac:dyDescent="0.3">
      <c r="A81" s="14" t="str">
        <f>IF([1]攻守數據!AG82 = "", "", [1]攻守數據!AG82)</f>
        <v>風妖精</v>
      </c>
      <c r="B81" s="14" t="str">
        <f>IF([1]攻守數據!AH82 = "", "", [1]攻守數據!AH82)</f>
        <v>草</v>
      </c>
      <c r="C81" s="14" t="str">
        <f>IF([1]攻守數據!AI82 = "", "", [1]攻守數據!AI82)</f>
        <v>妖精</v>
      </c>
      <c r="D81" s="15">
        <f>IF([1]攻守數據!AJ82 = "", "", [1]攻守數據!AJ82)</f>
        <v>20.234000000000002</v>
      </c>
      <c r="E81" s="15">
        <f>IF([1]攻守數據!AK82 = "", "", [1]攻守數據!AK82)</f>
        <v>47.414000000000001</v>
      </c>
    </row>
    <row r="82" spans="1:5" x14ac:dyDescent="0.3">
      <c r="A82" s="14" t="str">
        <f>IF([1]攻守數據!AG83 = "", "", [1]攻守數據!AG83)</f>
        <v>蜂女王</v>
      </c>
      <c r="B82" s="14" t="str">
        <f>IF([1]攻守數據!AH83 = "", "", [1]攻守數據!AH83)</f>
        <v>蟲</v>
      </c>
      <c r="C82" s="14" t="str">
        <f>IF([1]攻守數據!AI83 = "", "", [1]攻守數據!AI83)</f>
        <v>飛行</v>
      </c>
      <c r="D82" s="15">
        <f>IF([1]攻守數據!AJ83 = "", "", [1]攻守數據!AJ83)</f>
        <v>23.814</v>
      </c>
      <c r="E82" s="15">
        <f>IF([1]攻守數據!AK83 = "", "", [1]攻守數據!AK83)</f>
        <v>52.973999999999997</v>
      </c>
    </row>
    <row r="83" spans="1:5" x14ac:dyDescent="0.3">
      <c r="A83" s="14" t="str">
        <f>IF([1]攻守數據!AG84 = "", "", [1]攻守數據!AG84)</f>
        <v>電擊魔獸</v>
      </c>
      <c r="B83" s="14" t="str">
        <f>IF([1]攻守數據!AH84 = "", "", [1]攻守數據!AH84)</f>
        <v>電</v>
      </c>
      <c r="C83" s="14" t="str">
        <f>IF([1]攻守數據!AI84 = "", "", [1]攻守數據!AI84)</f>
        <v>無</v>
      </c>
      <c r="D83" s="15">
        <f>IF([1]攻守數據!AJ84 = "", "", [1]攻守數據!AJ84)</f>
        <v>21.713999999999999</v>
      </c>
      <c r="E83" s="15">
        <f>IF([1]攻守數據!AK84 = "", "", [1]攻守數據!AK84)</f>
        <v>47.094000000000001</v>
      </c>
    </row>
    <row r="84" spans="1:5" x14ac:dyDescent="0.3">
      <c r="A84" s="14" t="str">
        <f>IF([1]攻守數據!AG85 = "", "", [1]攻守數據!AG85)</f>
        <v>貓頭夜鷹</v>
      </c>
      <c r="B84" s="14" t="str">
        <f>IF([1]攻守數據!AH85 = "", "", [1]攻守數據!AH85)</f>
        <v>一般</v>
      </c>
      <c r="C84" s="14" t="str">
        <f>IF([1]攻守數據!AI85 = "", "", [1]攻守數據!AI85)</f>
        <v>飛行</v>
      </c>
      <c r="D84" s="15">
        <f>IF([1]攻守數據!AJ85 = "", "", [1]攻守數據!AJ85)</f>
        <v>25.515000000000001</v>
      </c>
      <c r="E84" s="15">
        <f>IF([1]攻守數據!AK85 = "", "", [1]攻守數據!AK85)</f>
        <v>49.814999999999998</v>
      </c>
    </row>
    <row r="85" spans="1:5" x14ac:dyDescent="0.3">
      <c r="A85" s="14" t="str">
        <f>IF([1]攻守數據!AG86 = "", "", [1]攻守數據!AG86)</f>
        <v>暴鯉龍</v>
      </c>
      <c r="B85" s="14" t="str">
        <f>IF([1]攻守數據!AH86 = "", "", [1]攻守數據!AH86)</f>
        <v>水</v>
      </c>
      <c r="C85" s="14" t="str">
        <f>IF([1]攻守數據!AI86 = "", "", [1]攻守數據!AI86)</f>
        <v>惡</v>
      </c>
      <c r="D85" s="15">
        <f>IF([1]攻守數據!AJ86 = "", "", [1]攻守數據!AJ86)</f>
        <v>28.937999999999999</v>
      </c>
      <c r="E85" s="15">
        <f>IF([1]攻守數據!AK86 = "", "", [1]攻守數據!AK86)</f>
        <v>57.558</v>
      </c>
    </row>
    <row r="86" spans="1:5" x14ac:dyDescent="0.3">
      <c r="A86" s="14" t="str">
        <f>IF([1]攻守數據!AG87 = "", "", [1]攻守數據!AG87)</f>
        <v>三首惡龍</v>
      </c>
      <c r="B86" s="14" t="str">
        <f>IF([1]攻守數據!AH87 = "", "", [1]攻守數據!AH87)</f>
        <v>惡</v>
      </c>
      <c r="C86" s="14" t="str">
        <f>IF([1]攻守數據!AI87 = "", "", [1]攻守數據!AI87)</f>
        <v>龍</v>
      </c>
      <c r="D86" s="15">
        <f>IF([1]攻守數據!AJ87 = "", "", [1]攻守數據!AJ87)</f>
        <v>28.48</v>
      </c>
      <c r="E86" s="15">
        <f>IF([1]攻守數據!AK87 = "", "", [1]攻守數據!AK87)</f>
        <v>57.28</v>
      </c>
    </row>
    <row r="87" spans="1:5" x14ac:dyDescent="0.3">
      <c r="A87" s="14" t="str">
        <f>IF([1]攻守數據!AG88 = "", "", [1]攻守數據!AG88)</f>
        <v>美納斯</v>
      </c>
      <c r="B87" s="14" t="str">
        <f>IF([1]攻守數據!AH88 = "", "", [1]攻守數據!AH88)</f>
        <v>水</v>
      </c>
      <c r="C87" s="14" t="str">
        <f>IF([1]攻守數據!AI88 = "", "", [1]攻守數據!AI88)</f>
        <v>無</v>
      </c>
      <c r="D87" s="15">
        <f>IF([1]攻守數據!AJ88 = "", "", [1]攻守數據!AJ88)</f>
        <v>33.67</v>
      </c>
      <c r="E87" s="15">
        <f>IF([1]攻守數據!AK88 = "", "", [1]攻守數據!AK88)</f>
        <v>66.97</v>
      </c>
    </row>
    <row r="88" spans="1:5" x14ac:dyDescent="0.3">
      <c r="A88" s="14" t="str">
        <f>IF([1]攻守數據!AG89 = "", "", [1]攻守數據!AG89)</f>
        <v>鴨嘴炎獸</v>
      </c>
      <c r="B88" s="14" t="str">
        <f>IF([1]攻守數據!AH89 = "", "", [1]攻守數據!AH89)</f>
        <v>火</v>
      </c>
      <c r="C88" s="14" t="str">
        <f>IF([1]攻守數據!AI89 = "", "", [1]攻守數據!AI89)</f>
        <v>無</v>
      </c>
      <c r="D88" s="15">
        <f>IF([1]攻守數據!AJ89 = "", "", [1]攻守數據!AJ89)</f>
        <v>22.792000000000002</v>
      </c>
      <c r="E88" s="15">
        <f>IF([1]攻守數據!AK89 = "", "", [1]攻守數據!AK89)</f>
        <v>49.432000000000002</v>
      </c>
    </row>
    <row r="89" spans="1:5" x14ac:dyDescent="0.3">
      <c r="A89" s="14" t="str">
        <f>IF([1]攻守數據!AG90 = "", "", [1]攻守數據!AG90)</f>
        <v>超甲狂犀</v>
      </c>
      <c r="B89" s="14" t="str">
        <f>IF([1]攻守數據!AH90 = "", "", [1]攻守數據!AH90)</f>
        <v>地面</v>
      </c>
      <c r="C89" s="14" t="str">
        <f>IF([1]攻守數據!AI90 = "", "", [1]攻守數據!AI90)</f>
        <v>岩石</v>
      </c>
      <c r="D89" s="15">
        <f>IF([1]攻守數據!AJ90 = "", "", [1]攻守數據!AJ90)</f>
        <v>34.020000000000003</v>
      </c>
      <c r="E89" s="15">
        <f>IF([1]攻守數據!AK90 = "", "", [1]攻守數據!AK90)</f>
        <v>63.18</v>
      </c>
    </row>
    <row r="90" spans="1:5" x14ac:dyDescent="0.3">
      <c r="A90" s="14" t="str">
        <f>IF([1]攻守數據!AG91 = "", "", [1]攻守數據!AG91)</f>
        <v>帝牙盧卡</v>
      </c>
      <c r="B90" s="14" t="str">
        <f>IF([1]攻守數據!AH91 = "", "", [1]攻守數據!AH91)</f>
        <v>鋼</v>
      </c>
      <c r="C90" s="14" t="str">
        <f>IF([1]攻守數據!AI91 = "", "", [1]攻守數據!AI91)</f>
        <v>龍</v>
      </c>
      <c r="D90" s="15">
        <f>IF([1]攻守數據!AJ91 = "", "", [1]攻守數據!AJ91)</f>
        <v>32.869999999999997</v>
      </c>
      <c r="E90" s="15">
        <f>IF([1]攻守數據!AK91 = "", "", [1]攻守數據!AK91)</f>
        <v>67.069999999999993</v>
      </c>
    </row>
    <row r="91" spans="1:5" x14ac:dyDescent="0.3">
      <c r="A91" s="14" t="str">
        <f>IF([1]攻守數據!AG92 = "", "", [1]攻守數據!AG92)</f>
        <v>帕路奇亞</v>
      </c>
      <c r="B91" s="14" t="str">
        <f>IF([1]攻守數據!AH92 = "", "", [1]攻守數據!AH92)</f>
        <v>水</v>
      </c>
      <c r="C91" s="14" t="str">
        <f>IF([1]攻守數據!AI92 = "", "", [1]攻守數據!AI92)</f>
        <v>龍</v>
      </c>
      <c r="D91" s="15">
        <f>IF([1]攻守數據!AJ92 = "", "", [1]攻守數據!AJ92)</f>
        <v>29.302</v>
      </c>
      <c r="E91" s="15">
        <f>IF([1]攻守數據!AK92 = "", "", [1]攻守數據!AK92)</f>
        <v>62.061999999999998</v>
      </c>
    </row>
    <row r="92" spans="1:5" x14ac:dyDescent="0.3">
      <c r="A92" s="14" t="str">
        <f>IF([1]攻守數據!AG93 = "", "", [1]攻守數據!AG93)</f>
        <v>瑪狃拉</v>
      </c>
      <c r="B92" s="14" t="str">
        <f>IF([1]攻守數據!AH93 = "", "", [1]攻守數據!AH93)</f>
        <v>冰</v>
      </c>
      <c r="C92" s="14" t="str">
        <f>IF([1]攻守數據!AI93 = "", "", [1]攻守數據!AI93)</f>
        <v>惡</v>
      </c>
      <c r="D92" s="15">
        <f>IF([1]攻守數據!AJ93 = "", "", [1]攻守數據!AJ93)</f>
        <v>21.609000000000002</v>
      </c>
      <c r="E92" s="15">
        <f>IF([1]攻守數據!AK93 = "", "", [1]攻守數據!AK93)</f>
        <v>48.069000000000003</v>
      </c>
    </row>
    <row r="93" spans="1:5" x14ac:dyDescent="0.3">
      <c r="A93" s="14" t="str">
        <f>IF([1]攻守數據!AG94 = "", "", [1]攻守數據!AG94)</f>
        <v>焚焰蚣</v>
      </c>
      <c r="B93" s="14" t="str">
        <f>IF([1]攻守數據!AH94 = "", "", [1]攻守數據!AH94)</f>
        <v>火</v>
      </c>
      <c r="C93" s="14" t="str">
        <f>IF([1]攻守數據!AI94 = "", "", [1]攻守數據!AI94)</f>
        <v>蟲</v>
      </c>
      <c r="D93" s="15">
        <f>IF([1]攻守數據!AJ94 = "", "", [1]攻守數據!AJ94)</f>
        <v>25.704000000000001</v>
      </c>
      <c r="E93" s="15">
        <f>IF([1]攻守數據!AK94 = "", "", [1]攻守數據!AK94)</f>
        <v>50.183999999999997</v>
      </c>
    </row>
    <row r="94" spans="1:5" x14ac:dyDescent="0.3">
      <c r="A94" s="14" t="str">
        <f>IF([1]攻守數據!AG95 = "", "", [1]攻守數據!AG95)</f>
        <v>由克希</v>
      </c>
      <c r="B94" s="14" t="str">
        <f>IF([1]攻守數據!AH95 = "", "", [1]攻守數據!AH95)</f>
        <v>超能力</v>
      </c>
      <c r="C94" s="14" t="str">
        <f>IF([1]攻守數據!AI95 = "", "", [1]攻守數據!AI95)</f>
        <v>無</v>
      </c>
      <c r="D94" s="15">
        <f>IF([1]攻守數據!AJ95 = "", "", [1]攻守數據!AJ95)</f>
        <v>34.65</v>
      </c>
      <c r="E94" s="15">
        <f>IF([1]攻守數據!AK95 = "", "", [1]攻守數據!AK95)</f>
        <v>75.150000000000006</v>
      </c>
    </row>
    <row r="95" spans="1:5" x14ac:dyDescent="0.3">
      <c r="A95" s="14" t="str">
        <f>IF([1]攻守數據!AG96 = "", "", [1]攻守數據!AG96)</f>
        <v>艾姆利多</v>
      </c>
      <c r="B95" s="14" t="str">
        <f>IF([1]攻守數據!AH96 = "", "", [1]攻守數據!AH96)</f>
        <v>超能力</v>
      </c>
      <c r="C95" s="14" t="str">
        <f>IF([1]攻守數據!AI96 = "", "", [1]攻守數據!AI96)</f>
        <v>無</v>
      </c>
      <c r="D95" s="15">
        <f>IF([1]攻守數據!AJ96 = "", "", [1]攻守數據!AJ96)</f>
        <v>28.998000000000001</v>
      </c>
      <c r="E95" s="15">
        <f>IF([1]攻守數據!AK96 = "", "", [1]攻守數據!AK96)</f>
        <v>61.218000000000004</v>
      </c>
    </row>
    <row r="96" spans="1:5" x14ac:dyDescent="0.3">
      <c r="A96" s="14" t="str">
        <f>IF([1]攻守數據!AG97 = "", "", [1]攻守數據!AG97)</f>
        <v>亞克諾姆</v>
      </c>
      <c r="B96" s="14" t="str">
        <f>IF([1]攻守數據!AH97 = "", "", [1]攻守數據!AH97)</f>
        <v>超能力</v>
      </c>
      <c r="C96" s="14" t="str">
        <f>IF([1]攻守數據!AI97 = "", "", [1]攻守數據!AI97)</f>
        <v>無</v>
      </c>
      <c r="D96" s="15">
        <f>IF([1]攻守數據!AJ97 = "", "", [1]攻守數據!AJ97)</f>
        <v>20.173999999999999</v>
      </c>
      <c r="E96" s="15">
        <f>IF([1]攻守數據!AK97 = "", "", [1]攻守數據!AK97)</f>
        <v>43.753999999999998</v>
      </c>
    </row>
    <row r="97" spans="1:5" x14ac:dyDescent="0.3">
      <c r="A97" s="14" t="str">
        <f>IF([1]攻守數據!AG98 = "", "", [1]攻守數據!AG98)</f>
        <v/>
      </c>
      <c r="B97" s="14" t="str">
        <f>IF([1]攻守數據!AH98 = "", "", [1]攻守數據!AH98)</f>
        <v/>
      </c>
      <c r="C97" s="14" t="str">
        <f>IF([1]攻守數據!AI98 = "", "", [1]攻守數據!AI98)</f>
        <v/>
      </c>
      <c r="D97" s="15" t="str">
        <f>IF([1]攻守數據!AJ98 = "", "", [1]攻守數據!AJ98)</f>
        <v/>
      </c>
      <c r="E97" s="15" t="str">
        <f>IF([1]攻守數據!AK98 = "", "", [1]攻守數據!AK98)</f>
        <v/>
      </c>
    </row>
    <row r="98" spans="1:5" x14ac:dyDescent="0.3">
      <c r="A98" s="14" t="str">
        <f>IF([1]攻守數據!AG99 = "", "", [1]攻守數據!AG99)</f>
        <v/>
      </c>
      <c r="B98" s="14" t="str">
        <f>IF([1]攻守數據!AH99 = "", "", [1]攻守數據!AH99)</f>
        <v/>
      </c>
      <c r="C98" s="14" t="str">
        <f>IF([1]攻守數據!AI99 = "", "", [1]攻守數據!AI99)</f>
        <v/>
      </c>
      <c r="D98" s="15" t="str">
        <f>IF([1]攻守數據!AJ99 = "", "", [1]攻守數據!AJ99)</f>
        <v/>
      </c>
      <c r="E98" s="15" t="str">
        <f>IF([1]攻守數據!AK99 = "", "", [1]攻守數據!AK99)</f>
        <v/>
      </c>
    </row>
    <row r="99" spans="1:5" x14ac:dyDescent="0.3">
      <c r="A99" s="14" t="str">
        <f>IF([1]攻守數據!AG100 = "", "", [1]攻守數據!AG100)</f>
        <v/>
      </c>
      <c r="B99" s="14" t="str">
        <f>IF([1]攻守數據!AH100 = "", "", [1]攻守數據!AH100)</f>
        <v/>
      </c>
      <c r="C99" s="14" t="str">
        <f>IF([1]攻守數據!AI100 = "", "", [1]攻守數據!AI100)</f>
        <v/>
      </c>
      <c r="D99" s="15" t="str">
        <f>IF([1]攻守數據!AJ100 = "", "", [1]攻守數據!AJ100)</f>
        <v/>
      </c>
      <c r="E99" s="15" t="str">
        <f>IF([1]攻守數據!AK100 = "", "", [1]攻守數據!AK100)</f>
        <v/>
      </c>
    </row>
    <row r="100" spans="1:5" x14ac:dyDescent="0.3">
      <c r="A100" s="14" t="str">
        <f>IF([1]攻守數據!AG101 = "", "", [1]攻守數據!AG101)</f>
        <v/>
      </c>
      <c r="B100" s="14" t="str">
        <f>IF([1]攻守數據!AH101 = "", "", [1]攻守數據!AH101)</f>
        <v/>
      </c>
      <c r="C100" s="14" t="str">
        <f>IF([1]攻守數據!AI101 = "", "", [1]攻守數據!AI101)</f>
        <v/>
      </c>
      <c r="D100" s="15" t="str">
        <f>IF([1]攻守數據!AJ101 = "", "", [1]攻守數據!AJ101)</f>
        <v/>
      </c>
      <c r="E100" s="15" t="str">
        <f>IF([1]攻守數據!AK101 = "", "", [1]攻守數據!AK101)</f>
        <v/>
      </c>
    </row>
    <row r="101" spans="1:5" x14ac:dyDescent="0.3">
      <c r="A101" s="14" t="str">
        <f>IF([1]攻守數據!AG102 = "", "", [1]攻守數據!AG102)</f>
        <v/>
      </c>
      <c r="B101" s="14" t="str">
        <f>IF([1]攻守數據!AH102 = "", "", [1]攻守數據!AH102)</f>
        <v/>
      </c>
      <c r="C101" s="14" t="str">
        <f>IF([1]攻守數據!AI102 = "", "", [1]攻守數據!AI102)</f>
        <v/>
      </c>
      <c r="D101" s="15" t="str">
        <f>IF([1]攻守數據!AJ102 = "", "", [1]攻守數據!AJ102)</f>
        <v/>
      </c>
      <c r="E101" s="15" t="str">
        <f>IF([1]攻守數據!AK102 = "", "", [1]攻守數據!AK102)</f>
        <v/>
      </c>
    </row>
    <row r="102" spans="1:5" x14ac:dyDescent="0.3">
      <c r="A102" s="14" t="str">
        <f>IF([1]攻守數據!AG103 = "", "", [1]攻守數據!AG103)</f>
        <v/>
      </c>
      <c r="B102" s="14" t="str">
        <f>IF([1]攻守數據!AH103 = "", "", [1]攻守數據!AH103)</f>
        <v/>
      </c>
      <c r="C102" s="14" t="str">
        <f>IF([1]攻守數據!AI103 = "", "", [1]攻守數據!AI103)</f>
        <v/>
      </c>
      <c r="D102" s="15" t="str">
        <f>IF([1]攻守數據!AJ103 = "", "", [1]攻守數據!AJ103)</f>
        <v/>
      </c>
      <c r="E102" s="15" t="str">
        <f>IF([1]攻守數據!AK103 = "", "", [1]攻守數據!AK103)</f>
        <v/>
      </c>
    </row>
    <row r="103" spans="1:5" x14ac:dyDescent="0.3">
      <c r="A103" s="14" t="str">
        <f>IF([1]攻守數據!AG104 = "", "", [1]攻守數據!AG104)</f>
        <v/>
      </c>
      <c r="B103" s="14" t="str">
        <f>IF([1]攻守數據!AH104 = "", "", [1]攻守數據!AH104)</f>
        <v/>
      </c>
      <c r="C103" s="14" t="str">
        <f>IF([1]攻守數據!AI104 = "", "", [1]攻守數據!AI104)</f>
        <v/>
      </c>
      <c r="D103" s="15" t="str">
        <f>IF([1]攻守數據!AJ104 = "", "", [1]攻守數據!AJ104)</f>
        <v/>
      </c>
      <c r="E103" s="15" t="str">
        <f>IF([1]攻守數據!AK104 = "", "", [1]攻守數據!AK104)</f>
        <v/>
      </c>
    </row>
    <row r="104" spans="1:5" x14ac:dyDescent="0.3">
      <c r="A104" s="14" t="str">
        <f>IF([1]攻守數據!AG105 = "", "", [1]攻守數據!AG105)</f>
        <v/>
      </c>
      <c r="B104" s="14" t="str">
        <f>IF([1]攻守數據!AH105 = "", "", [1]攻守數據!AH105)</f>
        <v/>
      </c>
      <c r="C104" s="14" t="str">
        <f>IF([1]攻守數據!AI105 = "", "", [1]攻守數據!AI105)</f>
        <v/>
      </c>
      <c r="D104" s="15" t="str">
        <f>IF([1]攻守數據!AJ105 = "", "", [1]攻守數據!AJ105)</f>
        <v/>
      </c>
      <c r="E104" s="15" t="str">
        <f>IF([1]攻守數據!AK105 = "", "", [1]攻守數據!AK105)</f>
        <v/>
      </c>
    </row>
    <row r="105" spans="1:5" x14ac:dyDescent="0.3">
      <c r="A105" s="14" t="str">
        <f>IF([1]攻守數據!AG106 = "", "", [1]攻守數據!AG106)</f>
        <v/>
      </c>
      <c r="B105" s="14" t="str">
        <f>IF([1]攻守數據!AH106 = "", "", [1]攻守數據!AH106)</f>
        <v/>
      </c>
      <c r="C105" s="14" t="str">
        <f>IF([1]攻守數據!AI106 = "", "", [1]攻守數據!AI106)</f>
        <v/>
      </c>
      <c r="D105" s="15" t="str">
        <f>IF([1]攻守數據!AJ106 = "", "", [1]攻守數據!AJ106)</f>
        <v/>
      </c>
      <c r="E105" s="15" t="str">
        <f>IF([1]攻守數據!AK106 = "", "", [1]攻守數據!AK106)</f>
        <v/>
      </c>
    </row>
    <row r="106" spans="1:5" x14ac:dyDescent="0.3">
      <c r="A106" s="14" t="str">
        <f>IF([1]攻守數據!AG107 = "", "", [1]攻守數據!AG107)</f>
        <v/>
      </c>
      <c r="B106" s="14" t="str">
        <f>IF([1]攻守數據!AH107 = "", "", [1]攻守數據!AH107)</f>
        <v/>
      </c>
      <c r="C106" s="14" t="str">
        <f>IF([1]攻守數據!AI107 = "", "", [1]攻守數據!AI107)</f>
        <v/>
      </c>
      <c r="D106" s="15" t="str">
        <f>IF([1]攻守數據!AJ107 = "", "", [1]攻守數據!AJ107)</f>
        <v/>
      </c>
      <c r="E106" s="15" t="str">
        <f>IF([1]攻守數據!AK107 = "", "", [1]攻守數據!AK107)</f>
        <v/>
      </c>
    </row>
    <row r="107" spans="1:5" x14ac:dyDescent="0.3">
      <c r="A107" s="14" t="str">
        <f>IF([1]攻守數據!AG108 = "", "", [1]攻守數據!AG108)</f>
        <v/>
      </c>
      <c r="B107" s="14" t="str">
        <f>IF([1]攻守數據!AH108 = "", "", [1]攻守數據!AH108)</f>
        <v/>
      </c>
      <c r="C107" s="14" t="str">
        <f>IF([1]攻守數據!AI108 = "", "", [1]攻守數據!AI108)</f>
        <v/>
      </c>
      <c r="D107" s="15" t="str">
        <f>IF([1]攻守數據!AJ108 = "", "", [1]攻守數據!AJ108)</f>
        <v/>
      </c>
      <c r="E107" s="15" t="str">
        <f>IF([1]攻守數據!AK108 = "", "", [1]攻守數據!AK108)</f>
        <v/>
      </c>
    </row>
    <row r="108" spans="1:5" x14ac:dyDescent="0.3">
      <c r="A108" s="14" t="str">
        <f>IF([1]攻守數據!AG109 = "", "", [1]攻守數據!AG109)</f>
        <v/>
      </c>
      <c r="B108" s="14" t="str">
        <f>IF([1]攻守數據!AH109 = "", "", [1]攻守數據!AH109)</f>
        <v/>
      </c>
      <c r="C108" s="14" t="str">
        <f>IF([1]攻守數據!AI109 = "", "", [1]攻守數據!AI109)</f>
        <v/>
      </c>
      <c r="D108" s="15" t="str">
        <f>IF([1]攻守數據!AJ109 = "", "", [1]攻守數據!AJ109)</f>
        <v/>
      </c>
      <c r="E108" s="15" t="str">
        <f>IF([1]攻守數據!AK109 = "", "", [1]攻守數據!AK109)</f>
        <v/>
      </c>
    </row>
    <row r="109" spans="1:5" x14ac:dyDescent="0.3">
      <c r="A109" s="14" t="str">
        <f>IF([1]攻守數據!AG110 = "", "", [1]攻守數據!AG110)</f>
        <v/>
      </c>
      <c r="B109" s="14" t="str">
        <f>IF([1]攻守數據!AH110 = "", "", [1]攻守數據!AH110)</f>
        <v/>
      </c>
      <c r="C109" s="14" t="str">
        <f>IF([1]攻守數據!AI110 = "", "", [1]攻守數據!AI110)</f>
        <v/>
      </c>
      <c r="D109" s="15" t="str">
        <f>IF([1]攻守數據!AJ110 = "", "", [1]攻守數據!AJ110)</f>
        <v/>
      </c>
      <c r="E109" s="15" t="str">
        <f>IF([1]攻守數據!AK110 = "", "", [1]攻守數據!AK110)</f>
        <v/>
      </c>
    </row>
    <row r="110" spans="1:5" x14ac:dyDescent="0.3">
      <c r="A110" s="14" t="str">
        <f>IF([1]攻守數據!AG111 = "", "", [1]攻守數據!AG111)</f>
        <v/>
      </c>
      <c r="B110" s="14" t="str">
        <f>IF([1]攻守數據!AH111 = "", "", [1]攻守數據!AH111)</f>
        <v/>
      </c>
      <c r="C110" s="14" t="str">
        <f>IF([1]攻守數據!AI111 = "", "", [1]攻守數據!AI111)</f>
        <v/>
      </c>
      <c r="D110" s="15" t="str">
        <f>IF([1]攻守數據!AJ111 = "", "", [1]攻守數據!AJ111)</f>
        <v/>
      </c>
      <c r="E110" s="15" t="str">
        <f>IF([1]攻守數據!AK111 = "", "", [1]攻守數據!AK111)</f>
        <v/>
      </c>
    </row>
    <row r="111" spans="1:5" x14ac:dyDescent="0.3">
      <c r="A111" s="14" t="str">
        <f>IF([1]攻守數據!AG112 = "", "", [1]攻守數據!AG112)</f>
        <v/>
      </c>
      <c r="B111" s="14" t="str">
        <f>IF([1]攻守數據!AH112 = "", "", [1]攻守數據!AH112)</f>
        <v/>
      </c>
      <c r="C111" s="14" t="str">
        <f>IF([1]攻守數據!AI112 = "", "", [1]攻守數據!AI112)</f>
        <v/>
      </c>
      <c r="D111" s="15" t="str">
        <f>IF([1]攻守數據!AJ112 = "", "", [1]攻守數據!AJ112)</f>
        <v/>
      </c>
      <c r="E111" s="15" t="str">
        <f>IF([1]攻守數據!AK112 = "", "", [1]攻守數據!AK112)</f>
        <v/>
      </c>
    </row>
    <row r="112" spans="1:5" x14ac:dyDescent="0.3">
      <c r="A112" s="14" t="str">
        <f>IF([1]攻守數據!AG113 = "", "", [1]攻守數據!AG113)</f>
        <v/>
      </c>
      <c r="B112" s="14" t="str">
        <f>IF([1]攻守數據!AH113 = "", "", [1]攻守數據!AH113)</f>
        <v/>
      </c>
      <c r="C112" s="14" t="str">
        <f>IF([1]攻守數據!AI113 = "", "", [1]攻守數據!AI113)</f>
        <v/>
      </c>
      <c r="D112" s="15" t="str">
        <f>IF([1]攻守數據!AJ113 = "", "", [1]攻守數據!AJ113)</f>
        <v/>
      </c>
      <c r="E112" s="15" t="str">
        <f>IF([1]攻守數據!AK113 = "", "", [1]攻守數據!AK113)</f>
        <v/>
      </c>
    </row>
    <row r="113" spans="1:5" x14ac:dyDescent="0.3">
      <c r="A113" s="14" t="str">
        <f>IF([1]攻守數據!AG114 = "", "", [1]攻守數據!AG114)</f>
        <v/>
      </c>
      <c r="B113" s="14" t="str">
        <f>IF([1]攻守數據!AH114 = "", "", [1]攻守數據!AH114)</f>
        <v/>
      </c>
      <c r="C113" s="14" t="str">
        <f>IF([1]攻守數據!AI114 = "", "", [1]攻守數據!AI114)</f>
        <v/>
      </c>
      <c r="D113" s="15" t="str">
        <f>IF([1]攻守數據!AJ114 = "", "", [1]攻守數據!AJ114)</f>
        <v/>
      </c>
      <c r="E113" s="15" t="str">
        <f>IF([1]攻守數據!AK114 = "", "", [1]攻守數據!AK114)</f>
        <v/>
      </c>
    </row>
    <row r="114" spans="1:5" x14ac:dyDescent="0.3">
      <c r="A114" s="14" t="str">
        <f>IF([1]攻守數據!AG115 = "", "", [1]攻守數據!AG115)</f>
        <v/>
      </c>
      <c r="B114" s="14" t="str">
        <f>IF([1]攻守數據!AH115 = "", "", [1]攻守數據!AH115)</f>
        <v/>
      </c>
      <c r="C114" s="14" t="str">
        <f>IF([1]攻守數據!AI115 = "", "", [1]攻守數據!AI115)</f>
        <v/>
      </c>
      <c r="D114" s="15" t="str">
        <f>IF([1]攻守數據!AJ115 = "", "", [1]攻守數據!AJ115)</f>
        <v/>
      </c>
      <c r="E114" s="15" t="str">
        <f>IF([1]攻守數據!AK115 = "", "", [1]攻守數據!AK115)</f>
        <v/>
      </c>
    </row>
    <row r="115" spans="1:5" x14ac:dyDescent="0.3">
      <c r="A115" s="14" t="str">
        <f>IF([1]攻守數據!AG116 = "", "", [1]攻守數據!AG116)</f>
        <v/>
      </c>
      <c r="B115" s="14" t="str">
        <f>IF([1]攻守數據!AH116 = "", "", [1]攻守數據!AH116)</f>
        <v/>
      </c>
      <c r="C115" s="14" t="str">
        <f>IF([1]攻守數據!AI116 = "", "", [1]攻守數據!AI116)</f>
        <v/>
      </c>
      <c r="D115" s="15" t="str">
        <f>IF([1]攻守數據!AJ116 = "", "", [1]攻守數據!AJ116)</f>
        <v/>
      </c>
      <c r="E115" s="15" t="str">
        <f>IF([1]攻守數據!AK116 = "", "", [1]攻守數據!AK116)</f>
        <v/>
      </c>
    </row>
    <row r="116" spans="1:5" x14ac:dyDescent="0.3">
      <c r="A116" s="14" t="str">
        <f>IF([1]攻守數據!AG117 = "", "", [1]攻守數據!AG117)</f>
        <v/>
      </c>
      <c r="B116" s="14" t="str">
        <f>IF([1]攻守數據!AH117 = "", "", [1]攻守數據!AH117)</f>
        <v/>
      </c>
      <c r="C116" s="14" t="str">
        <f>IF([1]攻守數據!AI117 = "", "", [1]攻守數據!AI117)</f>
        <v/>
      </c>
      <c r="D116" s="15" t="str">
        <f>IF([1]攻守數據!AJ117 = "", "", [1]攻守數據!AJ117)</f>
        <v/>
      </c>
      <c r="E116" s="15" t="str">
        <f>IF([1]攻守數據!AK117 = "", "", [1]攻守數據!AK117)</f>
        <v/>
      </c>
    </row>
    <row r="117" spans="1:5" x14ac:dyDescent="0.3">
      <c r="A117" s="14" t="str">
        <f>IF([1]攻守數據!AG118 = "", "", [1]攻守數據!AG118)</f>
        <v/>
      </c>
      <c r="B117" s="14" t="str">
        <f>IF([1]攻守數據!AH118 = "", "", [1]攻守數據!AH118)</f>
        <v/>
      </c>
      <c r="C117" s="14" t="str">
        <f>IF([1]攻守數據!AI118 = "", "", [1]攻守數據!AI118)</f>
        <v/>
      </c>
      <c r="D117" s="15" t="str">
        <f>IF([1]攻守數據!AJ118 = "", "", [1]攻守數據!AJ118)</f>
        <v/>
      </c>
      <c r="E117" s="15" t="str">
        <f>IF([1]攻守數據!AK118 = "", "", [1]攻守數據!AK118)</f>
        <v/>
      </c>
    </row>
    <row r="118" spans="1:5" x14ac:dyDescent="0.3">
      <c r="A118" s="14" t="str">
        <f>IF([1]攻守數據!AG119 = "", "", [1]攻守數據!AG119)</f>
        <v/>
      </c>
      <c r="B118" s="14" t="str">
        <f>IF([1]攻守數據!AH119 = "", "", [1]攻守數據!AH119)</f>
        <v/>
      </c>
      <c r="C118" s="14" t="str">
        <f>IF([1]攻守數據!AI119 = "", "", [1]攻守數據!AI119)</f>
        <v/>
      </c>
      <c r="D118" s="15" t="str">
        <f>IF([1]攻守數據!AJ119 = "", "", [1]攻守數據!AJ119)</f>
        <v/>
      </c>
      <c r="E118" s="15" t="str">
        <f>IF([1]攻守數據!AK119 = "", "", [1]攻守數據!AK119)</f>
        <v/>
      </c>
    </row>
    <row r="119" spans="1:5" x14ac:dyDescent="0.3">
      <c r="A119" s="14" t="str">
        <f>IF([1]攻守數據!AG120 = "", "", [1]攻守數據!AG120)</f>
        <v/>
      </c>
      <c r="B119" s="14" t="str">
        <f>IF([1]攻守數據!AH120 = "", "", [1]攻守數據!AH120)</f>
        <v/>
      </c>
      <c r="C119" s="14" t="str">
        <f>IF([1]攻守數據!AI120 = "", "", [1]攻守數據!AI120)</f>
        <v/>
      </c>
      <c r="D119" s="15" t="str">
        <f>IF([1]攻守數據!AJ120 = "", "", [1]攻守數據!AJ120)</f>
        <v/>
      </c>
      <c r="E119" s="15" t="str">
        <f>IF([1]攻守數據!AK120 = "", "", [1]攻守數據!AK120)</f>
        <v/>
      </c>
    </row>
    <row r="120" spans="1:5" x14ac:dyDescent="0.3">
      <c r="A120" s="14" t="str">
        <f>IF([1]攻守數據!AG121 = "", "", [1]攻守數據!AG121)</f>
        <v/>
      </c>
      <c r="B120" s="14" t="str">
        <f>IF([1]攻守數據!AH121 = "", "", [1]攻守數據!AH121)</f>
        <v/>
      </c>
      <c r="C120" s="14" t="str">
        <f>IF([1]攻守數據!AI121 = "", "", [1]攻守數據!AI121)</f>
        <v/>
      </c>
      <c r="D120" s="15" t="str">
        <f>IF([1]攻守數據!AJ121 = "", "", [1]攻守數據!AJ121)</f>
        <v/>
      </c>
      <c r="E120" s="15" t="str">
        <f>IF([1]攻守數據!AK121 = "", "", [1]攻守數據!AK121)</f>
        <v/>
      </c>
    </row>
    <row r="121" spans="1:5" x14ac:dyDescent="0.3">
      <c r="A121" s="14" t="str">
        <f>IF([1]攻守數據!Y122 = "", "", [1]攻守數據!Y122)</f>
        <v/>
      </c>
      <c r="B121" s="14" t="str">
        <f>IF([1]攻守數據!Z122 = "", "", [1]攻守數據!Z122)</f>
        <v/>
      </c>
      <c r="C121" s="14" t="str">
        <f>IF([1]攻守數據!AA122 = "", "", [1]攻守數據!AA122)</f>
        <v/>
      </c>
      <c r="D121" s="15" t="str">
        <f>IF([1]攻守數據!AB122 = "", "", [1]攻守數據!AB122)</f>
        <v/>
      </c>
      <c r="E121" s="15"/>
    </row>
    <row r="122" spans="1:5" x14ac:dyDescent="0.3">
      <c r="A122" s="14" t="str">
        <f>IF([1]攻守數據!Y123 = "", "", [1]攻守數據!Y123)</f>
        <v/>
      </c>
      <c r="B122" s="14" t="str">
        <f>IF([1]攻守數據!Z123 = "", "", [1]攻守數據!Z123)</f>
        <v/>
      </c>
      <c r="C122" s="14" t="str">
        <f>IF([1]攻守數據!AA123 = "", "", [1]攻守數據!AA123)</f>
        <v/>
      </c>
      <c r="D122" s="15" t="str">
        <f>IF([1]攻守數據!AB123 = "", "", [1]攻守數據!AB123)</f>
        <v/>
      </c>
      <c r="E122" s="15"/>
    </row>
    <row r="123" spans="1:5" x14ac:dyDescent="0.3">
      <c r="A123" s="14" t="str">
        <f>IF([1]攻守數據!Y124 = "", "", [1]攻守數據!Y124)</f>
        <v/>
      </c>
      <c r="B123" s="14" t="str">
        <f>IF([1]攻守數據!Z124 = "", "", [1]攻守數據!Z124)</f>
        <v/>
      </c>
      <c r="C123" s="14" t="str">
        <f>IF([1]攻守數據!AA124 = "", "", [1]攻守數據!AA124)</f>
        <v/>
      </c>
      <c r="D123" s="15" t="str">
        <f>IF([1]攻守數據!AB124 = "", "", [1]攻守數據!AB124)</f>
        <v/>
      </c>
      <c r="E123" s="15"/>
    </row>
    <row r="124" spans="1:5" x14ac:dyDescent="0.3">
      <c r="A124" s="14" t="str">
        <f>IF([1]攻守數據!Y125 = "", "", [1]攻守數據!Y125)</f>
        <v/>
      </c>
      <c r="B124" s="14" t="str">
        <f>IF([1]攻守數據!Z125 = "", "", [1]攻守數據!Z125)</f>
        <v/>
      </c>
      <c r="C124" s="14" t="str">
        <f>IF([1]攻守數據!AA125 = "", "", [1]攻守數據!AA125)</f>
        <v/>
      </c>
      <c r="D124" s="15" t="str">
        <f>IF([1]攻守數據!AB125 = "", "", [1]攻守數據!AB125)</f>
        <v/>
      </c>
      <c r="E124" s="15"/>
    </row>
    <row r="125" spans="1:5" x14ac:dyDescent="0.3">
      <c r="A125" s="14" t="str">
        <f>IF([1]攻守數據!Y126 = "", "", [1]攻守數據!Y126)</f>
        <v/>
      </c>
      <c r="B125" s="14" t="str">
        <f>IF([1]攻守數據!Z126 = "", "", [1]攻守數據!Z126)</f>
        <v/>
      </c>
      <c r="C125" s="14" t="str">
        <f>IF([1]攻守數據!AA126 = "", "", [1]攻守數據!AA126)</f>
        <v/>
      </c>
      <c r="D125" s="15" t="str">
        <f>IF([1]攻守數據!AB126 = "", "", [1]攻守數據!AB126)</f>
        <v/>
      </c>
      <c r="E125" s="15"/>
    </row>
    <row r="126" spans="1:5" x14ac:dyDescent="0.3">
      <c r="A126" s="14" t="str">
        <f>IF([1]攻守數據!Y127 = "", "", [1]攻守數據!Y127)</f>
        <v/>
      </c>
      <c r="B126" s="14" t="str">
        <f>IF([1]攻守數據!Z127 = "", "", [1]攻守數據!Z127)</f>
        <v/>
      </c>
      <c r="C126" s="14" t="str">
        <f>IF([1]攻守數據!AA127 = "", "", [1]攻守數據!AA127)</f>
        <v/>
      </c>
      <c r="D126" s="15" t="str">
        <f>IF([1]攻守數據!AB127 = "", "", [1]攻守數據!AB127)</f>
        <v/>
      </c>
      <c r="E126" s="15"/>
    </row>
    <row r="127" spans="1:5" x14ac:dyDescent="0.3">
      <c r="A127" s="14" t="str">
        <f>IF([1]攻守數據!Y128 = "", "", [1]攻守數據!Y128)</f>
        <v/>
      </c>
      <c r="B127" s="14" t="str">
        <f>IF([1]攻守數據!Z128 = "", "", [1]攻守數據!Z128)</f>
        <v/>
      </c>
      <c r="C127" s="14" t="str">
        <f>IF([1]攻守數據!AA128 = "", "", [1]攻守數據!AA128)</f>
        <v/>
      </c>
      <c r="D127" s="15" t="str">
        <f>IF([1]攻守數據!AB128 = "", "", [1]攻守數據!AB128)</f>
        <v/>
      </c>
      <c r="E127" s="15"/>
    </row>
    <row r="128" spans="1:5" x14ac:dyDescent="0.3">
      <c r="A128" s="14" t="str">
        <f>IF([1]攻守數據!Y129 = "", "", [1]攻守數據!Y129)</f>
        <v/>
      </c>
      <c r="B128" s="14" t="str">
        <f>IF([1]攻守數據!Z129 = "", "", [1]攻守數據!Z129)</f>
        <v/>
      </c>
      <c r="C128" s="14" t="str">
        <f>IF([1]攻守數據!AA129 = "", "", [1]攻守數據!AA129)</f>
        <v/>
      </c>
      <c r="D128" s="15" t="str">
        <f>IF([1]攻守數據!AB129 = "", "", [1]攻守數據!AB129)</f>
        <v/>
      </c>
      <c r="E128" s="15"/>
    </row>
    <row r="129" spans="1:5" x14ac:dyDescent="0.3">
      <c r="A129" s="14" t="str">
        <f>IF([1]攻守數據!Y130 = "", "", [1]攻守數據!Y130)</f>
        <v/>
      </c>
      <c r="B129" s="14" t="str">
        <f>IF([1]攻守數據!Z130 = "", "", [1]攻守數據!Z130)</f>
        <v/>
      </c>
      <c r="C129" s="14" t="str">
        <f>IF([1]攻守數據!AA130 = "", "", [1]攻守數據!AA130)</f>
        <v/>
      </c>
      <c r="D129" s="15" t="str">
        <f>IF([1]攻守數據!AB130 = "", "", [1]攻守數據!AB130)</f>
        <v/>
      </c>
      <c r="E129" s="15"/>
    </row>
    <row r="130" spans="1:5" x14ac:dyDescent="0.3">
      <c r="A130" s="14" t="str">
        <f>IF([1]攻守數據!Y131 = "", "", [1]攻守數據!Y131)</f>
        <v/>
      </c>
      <c r="B130" s="14" t="str">
        <f>IF([1]攻守數據!Z131 = "", "", [1]攻守數據!Z131)</f>
        <v/>
      </c>
      <c r="C130" s="14" t="str">
        <f>IF([1]攻守數據!AA131 = "", "", [1]攻守數據!AA131)</f>
        <v/>
      </c>
      <c r="D130" s="15" t="str">
        <f>IF([1]攻守數據!AB131 = "", "", [1]攻守數據!AB131)</f>
        <v/>
      </c>
      <c r="E130" s="15"/>
    </row>
    <row r="131" spans="1:5" x14ac:dyDescent="0.3">
      <c r="A131" s="14" t="str">
        <f>IF([1]攻守數據!Y132 = "", "", [1]攻守數據!Y132)</f>
        <v/>
      </c>
      <c r="B131" s="14" t="str">
        <f>IF([1]攻守數據!Z132 = "", "", [1]攻守數據!Z132)</f>
        <v/>
      </c>
      <c r="C131" s="14" t="str">
        <f>IF([1]攻守數據!AA132 = "", "", [1]攻守數據!AA132)</f>
        <v/>
      </c>
      <c r="D131" s="15" t="str">
        <f>IF([1]攻守數據!AB132 = "", "", [1]攻守數據!AB132)</f>
        <v/>
      </c>
      <c r="E131" s="15"/>
    </row>
    <row r="132" spans="1:5" x14ac:dyDescent="0.3">
      <c r="A132" s="14" t="str">
        <f>IF([1]攻守數據!Y133 = "", "", [1]攻守數據!Y133)</f>
        <v/>
      </c>
      <c r="B132" s="14" t="str">
        <f>IF([1]攻守數據!Z133 = "", "", [1]攻守數據!Z133)</f>
        <v/>
      </c>
      <c r="C132" s="14" t="str">
        <f>IF([1]攻守數據!AA133 = "", "", [1]攻守數據!AA133)</f>
        <v/>
      </c>
      <c r="D132" s="15" t="str">
        <f>IF([1]攻守數據!AB133 = "", "", [1]攻守數據!AB133)</f>
        <v/>
      </c>
      <c r="E132" s="15"/>
    </row>
    <row r="133" spans="1:5" x14ac:dyDescent="0.3">
      <c r="A133" s="14" t="str">
        <f>IF([1]攻守數據!Y134 = "", "", [1]攻守數據!Y134)</f>
        <v/>
      </c>
      <c r="B133" s="14" t="str">
        <f>IF([1]攻守數據!Z134 = "", "", [1]攻守數據!Z134)</f>
        <v/>
      </c>
      <c r="C133" s="14" t="str">
        <f>IF([1]攻守數據!AA134 = "", "", [1]攻守數據!AA134)</f>
        <v/>
      </c>
      <c r="D133" s="15" t="str">
        <f>IF([1]攻守數據!AB134 = "", "", [1]攻守數據!AB134)</f>
        <v/>
      </c>
      <c r="E133" s="15"/>
    </row>
    <row r="134" spans="1:5" x14ac:dyDescent="0.3">
      <c r="A134" s="14" t="str">
        <f>IF([1]攻守數據!Y135 = "", "", [1]攻守數據!Y135)</f>
        <v/>
      </c>
      <c r="B134" s="14" t="str">
        <f>IF([1]攻守數據!Z135 = "", "", [1]攻守數據!Z135)</f>
        <v/>
      </c>
      <c r="C134" s="14" t="str">
        <f>IF([1]攻守數據!AA135 = "", "", [1]攻守數據!AA135)</f>
        <v/>
      </c>
      <c r="D134" s="15" t="str">
        <f>IF([1]攻守數據!AB135 = "", "", [1]攻守數據!AB135)</f>
        <v/>
      </c>
      <c r="E134" s="15"/>
    </row>
    <row r="135" spans="1:5" x14ac:dyDescent="0.3">
      <c r="A135" s="14" t="str">
        <f>IF([1]攻守數據!Y136 = "", "", [1]攻守數據!Y136)</f>
        <v/>
      </c>
      <c r="B135" s="14" t="str">
        <f>IF([1]攻守數據!Z136 = "", "", [1]攻守數據!Z136)</f>
        <v/>
      </c>
      <c r="C135" s="14" t="str">
        <f>IF([1]攻守數據!AA136 = "", "", [1]攻守數據!AA136)</f>
        <v/>
      </c>
      <c r="D135" s="15" t="str">
        <f>IF([1]攻守數據!AB136 = "", "", [1]攻守數據!AB136)</f>
        <v/>
      </c>
      <c r="E135" s="15"/>
    </row>
    <row r="136" spans="1:5" x14ac:dyDescent="0.3">
      <c r="A136" s="14" t="str">
        <f>IF([1]攻守數據!Y137 = "", "", [1]攻守數據!Y137)</f>
        <v/>
      </c>
      <c r="B136" s="14" t="str">
        <f>IF([1]攻守數據!Z137 = "", "", [1]攻守數據!Z137)</f>
        <v/>
      </c>
      <c r="C136" s="14" t="str">
        <f>IF([1]攻守數據!AA137 = "", "", [1]攻守數據!AA137)</f>
        <v/>
      </c>
      <c r="D136" s="15" t="str">
        <f>IF([1]攻守數據!AB137 = "", "", [1]攻守數據!AB137)</f>
        <v/>
      </c>
      <c r="E136" s="15"/>
    </row>
    <row r="137" spans="1:5" x14ac:dyDescent="0.3">
      <c r="A137" s="14" t="str">
        <f>IF([1]攻守數據!Y138 = "", "", [1]攻守數據!Y138)</f>
        <v/>
      </c>
      <c r="B137" s="14" t="str">
        <f>IF([1]攻守數據!Z138 = "", "", [1]攻守數據!Z138)</f>
        <v/>
      </c>
      <c r="C137" s="14" t="str">
        <f>IF([1]攻守數據!AA138 = "", "", [1]攻守數據!AA138)</f>
        <v/>
      </c>
      <c r="D137" s="15" t="str">
        <f>IF([1]攻守數據!AB138 = "", "", [1]攻守數據!AB138)</f>
        <v/>
      </c>
      <c r="E137" s="15"/>
    </row>
    <row r="138" spans="1:5" x14ac:dyDescent="0.3">
      <c r="A138" s="14" t="str">
        <f>IF([1]攻守數據!Y139 = "", "", [1]攻守數據!Y139)</f>
        <v/>
      </c>
      <c r="B138" s="14" t="str">
        <f>IF([1]攻守數據!Z139 = "", "", [1]攻守數據!Z139)</f>
        <v/>
      </c>
      <c r="C138" s="14" t="str">
        <f>IF([1]攻守數據!AA139 = "", "", [1]攻守數據!AA139)</f>
        <v/>
      </c>
      <c r="D138" s="15" t="str">
        <f>IF([1]攻守數據!AB139 = "", "", [1]攻守數據!AB139)</f>
        <v/>
      </c>
      <c r="E138" s="15"/>
    </row>
    <row r="139" spans="1:5" x14ac:dyDescent="0.3">
      <c r="A139" s="14" t="str">
        <f>IF([1]攻守數據!Y140 = "", "", [1]攻守數據!Y140)</f>
        <v/>
      </c>
      <c r="B139" s="14" t="str">
        <f>IF([1]攻守數據!Z140 = "", "", [1]攻守數據!Z140)</f>
        <v/>
      </c>
      <c r="C139" s="14" t="str">
        <f>IF([1]攻守數據!AA140 = "", "", [1]攻守數據!AA140)</f>
        <v/>
      </c>
      <c r="D139" s="15" t="str">
        <f>IF([1]攻守數據!AB140 = "", "", [1]攻守數據!AB140)</f>
        <v/>
      </c>
      <c r="E139" s="15"/>
    </row>
    <row r="140" spans="1:5" x14ac:dyDescent="0.3">
      <c r="A140" s="14" t="str">
        <f>IF([1]攻守數據!Y141 = "", "", [1]攻守數據!Y141)</f>
        <v/>
      </c>
      <c r="B140" s="14" t="str">
        <f>IF([1]攻守數據!Z141 = "", "", [1]攻守數據!Z141)</f>
        <v/>
      </c>
      <c r="C140" s="14" t="str">
        <f>IF([1]攻守數據!AA141 = "", "", [1]攻守數據!AA141)</f>
        <v/>
      </c>
      <c r="D140" s="15" t="str">
        <f>IF([1]攻守數據!AB141 = "", "", [1]攻守數據!AB141)</f>
        <v/>
      </c>
      <c r="E140" s="15"/>
    </row>
    <row r="141" spans="1:5" x14ac:dyDescent="0.3">
      <c r="A141" s="14" t="str">
        <f>IF([1]攻守數據!Y142 = "", "", [1]攻守數據!Y142)</f>
        <v/>
      </c>
      <c r="B141" s="14" t="str">
        <f>IF([1]攻守數據!Z142 = "", "", [1]攻守數據!Z142)</f>
        <v/>
      </c>
      <c r="C141" s="14" t="str">
        <f>IF([1]攻守數據!AA142 = "", "", [1]攻守數據!AA142)</f>
        <v/>
      </c>
      <c r="D141" s="15" t="str">
        <f>IF([1]攻守數據!AB142 = "", "", [1]攻守數據!AB142)</f>
        <v/>
      </c>
      <c r="E141" s="15"/>
    </row>
    <row r="142" spans="1:5" x14ac:dyDescent="0.3">
      <c r="A142" s="14" t="str">
        <f>IF([1]攻守數據!Y143 = "", "", [1]攻守數據!Y143)</f>
        <v/>
      </c>
      <c r="B142" s="14" t="str">
        <f>IF([1]攻守數據!Z143 = "", "", [1]攻守數據!Z143)</f>
        <v/>
      </c>
      <c r="C142" s="14" t="str">
        <f>IF([1]攻守數據!AA143 = "", "", [1]攻守數據!AA143)</f>
        <v/>
      </c>
      <c r="D142" s="15" t="str">
        <f>IF([1]攻守數據!AB143 = "", "", [1]攻守數據!AB143)</f>
        <v/>
      </c>
      <c r="E142" s="15"/>
    </row>
    <row r="143" spans="1:5" x14ac:dyDescent="0.3">
      <c r="A143" s="14" t="str">
        <f>IF([1]攻守數據!Y144 = "", "", [1]攻守數據!Y144)</f>
        <v/>
      </c>
      <c r="B143" s="14" t="str">
        <f>IF([1]攻守數據!Z144 = "", "", [1]攻守數據!Z144)</f>
        <v/>
      </c>
      <c r="C143" s="14" t="str">
        <f>IF([1]攻守數據!AA144 = "", "", [1]攻守數據!AA144)</f>
        <v/>
      </c>
      <c r="D143" s="15" t="str">
        <f>IF([1]攻守數據!AB144 = "", "", [1]攻守數據!AB144)</f>
        <v/>
      </c>
      <c r="E143" s="15"/>
    </row>
    <row r="144" spans="1:5" x14ac:dyDescent="0.3">
      <c r="A144" s="14" t="str">
        <f>IF([1]攻守數據!Y145 = "", "", [1]攻守數據!Y145)</f>
        <v/>
      </c>
      <c r="B144" s="14" t="str">
        <f>IF([1]攻守數據!Z145 = "", "", [1]攻守數據!Z145)</f>
        <v/>
      </c>
      <c r="C144" s="14" t="str">
        <f>IF([1]攻守數據!AA145 = "", "", [1]攻守數據!AA145)</f>
        <v/>
      </c>
      <c r="D144" s="15" t="str">
        <f>IF([1]攻守數據!AB145 = "", "", [1]攻守數據!AB145)</f>
        <v/>
      </c>
      <c r="E144" s="15"/>
    </row>
    <row r="145" spans="1:5" x14ac:dyDescent="0.3">
      <c r="A145" s="14" t="str">
        <f>IF([1]攻守數據!Y146 = "", "", [1]攻守數據!Y146)</f>
        <v/>
      </c>
      <c r="B145" s="14" t="str">
        <f>IF([1]攻守數據!Z146 = "", "", [1]攻守數據!Z146)</f>
        <v/>
      </c>
      <c r="C145" s="14" t="str">
        <f>IF([1]攻守數據!AA146 = "", "", [1]攻守數據!AA146)</f>
        <v/>
      </c>
      <c r="D145" s="15" t="str">
        <f>IF([1]攻守數據!AB146 = "", "", [1]攻守數據!AB146)</f>
        <v/>
      </c>
      <c r="E145" s="15"/>
    </row>
    <row r="146" spans="1:5" x14ac:dyDescent="0.3">
      <c r="A146" s="14" t="str">
        <f>IF([1]攻守數據!Y147 = "", "", [1]攻守數據!Y147)</f>
        <v/>
      </c>
      <c r="B146" s="14" t="str">
        <f>IF([1]攻守數據!Z147 = "", "", [1]攻守數據!Z147)</f>
        <v/>
      </c>
      <c r="C146" s="14" t="str">
        <f>IF([1]攻守數據!AA147 = "", "", [1]攻守數據!AA147)</f>
        <v/>
      </c>
      <c r="D146" s="15" t="str">
        <f>IF([1]攻守數據!AB147 = "", "", [1]攻守數據!AB147)</f>
        <v/>
      </c>
      <c r="E146" s="15"/>
    </row>
    <row r="147" spans="1:5" x14ac:dyDescent="0.3">
      <c r="A147" s="14" t="str">
        <f>IF([1]攻守數據!Y148 = "", "", [1]攻守數據!Y148)</f>
        <v/>
      </c>
      <c r="B147" s="14" t="str">
        <f>IF([1]攻守數據!Z148 = "", "", [1]攻守數據!Z148)</f>
        <v/>
      </c>
      <c r="C147" s="14" t="str">
        <f>IF([1]攻守數據!AA148 = "", "", [1]攻守數據!AA148)</f>
        <v/>
      </c>
      <c r="D147" s="15" t="str">
        <f>IF([1]攻守數據!AB148 = "", "", [1]攻守數據!AB148)</f>
        <v/>
      </c>
      <c r="E147" s="15"/>
    </row>
    <row r="148" spans="1:5" x14ac:dyDescent="0.3">
      <c r="A148" s="14" t="str">
        <f>IF([1]攻守數據!Y149 = "", "", [1]攻守數據!Y149)</f>
        <v/>
      </c>
      <c r="B148" s="14" t="str">
        <f>IF([1]攻守數據!Z149 = "", "", [1]攻守數據!Z149)</f>
        <v/>
      </c>
      <c r="C148" s="14" t="str">
        <f>IF([1]攻守數據!AA149 = "", "", [1]攻守數據!AA149)</f>
        <v/>
      </c>
      <c r="D148" s="15" t="str">
        <f>IF([1]攻守數據!AB149 = "", "", [1]攻守數據!AB149)</f>
        <v/>
      </c>
      <c r="E148" s="15"/>
    </row>
    <row r="149" spans="1:5" x14ac:dyDescent="0.3">
      <c r="A149" s="14" t="str">
        <f>IF([1]攻守數據!Y150 = "", "", [1]攻守數據!Y150)</f>
        <v/>
      </c>
      <c r="B149" s="14" t="str">
        <f>IF([1]攻守數據!Z150 = "", "", [1]攻守數據!Z150)</f>
        <v/>
      </c>
      <c r="C149" s="14" t="str">
        <f>IF([1]攻守數據!AA150 = "", "", [1]攻守數據!AA150)</f>
        <v/>
      </c>
      <c r="D149" s="15" t="str">
        <f>IF([1]攻守數據!AB150 = "", "", [1]攻守數據!AB150)</f>
        <v/>
      </c>
      <c r="E149" s="15"/>
    </row>
    <row r="150" spans="1:5" x14ac:dyDescent="0.3">
      <c r="A150" s="14" t="str">
        <f>IF([1]攻守數據!Y151 = "", "", [1]攻守數據!Y151)</f>
        <v/>
      </c>
      <c r="B150" s="14" t="str">
        <f>IF([1]攻守數據!Z151 = "", "", [1]攻守數據!Z151)</f>
        <v/>
      </c>
      <c r="C150" s="14" t="str">
        <f>IF([1]攻守數據!AA151 = "", "", [1]攻守數據!AA151)</f>
        <v/>
      </c>
      <c r="D150" s="15" t="str">
        <f>IF([1]攻守數據!AB151 = "", "", [1]攻守數據!AB151)</f>
        <v/>
      </c>
      <c r="E150" s="15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</dc:creator>
  <cp:lastModifiedBy>子寬 游</cp:lastModifiedBy>
  <dcterms:created xsi:type="dcterms:W3CDTF">2015-06-05T18:19:34Z</dcterms:created>
  <dcterms:modified xsi:type="dcterms:W3CDTF">2026-10-16T06:41:12Z</dcterms:modified>
</cp:coreProperties>
</file>