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寶可夢\"/>
    </mc:Choice>
  </mc:AlternateContent>
  <xr:revisionPtr revIDLastSave="0" documentId="13_ncr:1_{F2520799-91D5-4676-99E3-E4BDB3605D7A}" xr6:coauthVersionLast="47" xr6:coauthVersionMax="47" xr10:uidLastSave="{00000000-0000-0000-0000-000000000000}"/>
  <bookViews>
    <workbookView xWindow="-108" yWindow="-108" windowWidth="23256" windowHeight="12456" xr2:uid="{B8AEFEAE-C129-4A29-8774-15D85CE004F6}"/>
  </bookViews>
  <sheets>
    <sheet name="攻守數據" sheetId="6" r:id="rId1"/>
    <sheet name="數據" sheetId="3" r:id="rId2"/>
    <sheet name="屬性克制表" sheetId="7" r:id="rId3"/>
    <sheet name="極巨傷害" sheetId="1" r:id="rId4"/>
    <sheet name="能量點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6" l="1" a="1"/>
  <c r="J3" i="6" s="1"/>
  <c r="AI115" i="6"/>
  <c r="AI116" i="6"/>
  <c r="AG115" i="6"/>
  <c r="AG116" i="6"/>
  <c r="AJ115" i="6"/>
  <c r="AJ116" i="6"/>
  <c r="AR64" i="6"/>
  <c r="AP64" i="6"/>
  <c r="AN64" i="6"/>
  <c r="AL64" i="6"/>
  <c r="P63" i="3"/>
  <c r="AA63" i="6"/>
  <c r="AR62" i="6"/>
  <c r="AR63" i="6"/>
  <c r="AP62" i="6"/>
  <c r="AP63" i="6"/>
  <c r="AN62" i="6"/>
  <c r="AN63" i="6"/>
  <c r="AL62" i="6"/>
  <c r="AL63" i="6"/>
  <c r="AJ114" i="6"/>
  <c r="AG114" i="6" s="1"/>
  <c r="AI114" i="6" s="1"/>
  <c r="P62" i="3"/>
  <c r="E10" i="2"/>
  <c r="E6" i="2"/>
  <c r="E2" i="2"/>
  <c r="C3" i="2"/>
  <c r="C4" i="2"/>
  <c r="P61" i="3"/>
  <c r="AR51" i="6"/>
  <c r="AR52" i="6"/>
  <c r="AR53" i="6"/>
  <c r="AR54" i="6"/>
  <c r="AR55" i="6"/>
  <c r="AR56" i="6"/>
  <c r="AR57" i="6"/>
  <c r="AR58" i="6"/>
  <c r="AR59" i="6"/>
  <c r="AR60" i="6"/>
  <c r="AR61" i="6"/>
  <c r="AP51" i="6"/>
  <c r="AP52" i="6"/>
  <c r="AP53" i="6"/>
  <c r="AP54" i="6"/>
  <c r="AP55" i="6"/>
  <c r="AP56" i="6"/>
  <c r="AP57" i="6"/>
  <c r="AP58" i="6"/>
  <c r="AP59" i="6"/>
  <c r="AP60" i="6"/>
  <c r="AP61" i="6"/>
  <c r="AN51" i="6"/>
  <c r="AN52" i="6"/>
  <c r="AN53" i="6"/>
  <c r="AN54" i="6"/>
  <c r="AN55" i="6"/>
  <c r="AN56" i="6"/>
  <c r="AN57" i="6"/>
  <c r="AN58" i="6"/>
  <c r="AN59" i="6"/>
  <c r="AN60" i="6"/>
  <c r="AN61" i="6"/>
  <c r="AL51" i="6"/>
  <c r="AL52" i="6"/>
  <c r="AL53" i="6"/>
  <c r="AL54" i="6"/>
  <c r="AL55" i="6"/>
  <c r="AL56" i="6"/>
  <c r="AL57" i="6"/>
  <c r="AL58" i="6"/>
  <c r="AL59" i="6"/>
  <c r="AL60" i="6"/>
  <c r="AL61" i="6"/>
  <c r="AJ110" i="6"/>
  <c r="AG110" i="6" s="1"/>
  <c r="AI110" i="6" s="1"/>
  <c r="AJ111" i="6"/>
  <c r="AG111" i="6" s="1"/>
  <c r="AI111" i="6" s="1"/>
  <c r="AJ112" i="6"/>
  <c r="AG112" i="6" s="1"/>
  <c r="AI112" i="6" s="1"/>
  <c r="AJ113" i="6"/>
  <c r="AG113" i="6" s="1"/>
  <c r="AI113" i="6" s="1"/>
  <c r="AG100" i="6"/>
  <c r="AI100" i="6" s="1"/>
  <c r="AJ102" i="6"/>
  <c r="AG102" i="6" s="1"/>
  <c r="AI102" i="6" s="1"/>
  <c r="AJ103" i="6"/>
  <c r="AG103" i="6" s="1"/>
  <c r="AI103" i="6" s="1"/>
  <c r="AJ104" i="6"/>
  <c r="AG104" i="6" s="1"/>
  <c r="AI104" i="6" s="1"/>
  <c r="AJ105" i="6"/>
  <c r="AG105" i="6" s="1"/>
  <c r="AI105" i="6" s="1"/>
  <c r="AJ106" i="6"/>
  <c r="AG106" i="6" s="1"/>
  <c r="AI106" i="6" s="1"/>
  <c r="AJ107" i="6"/>
  <c r="AG107" i="6" s="1"/>
  <c r="AI107" i="6" s="1"/>
  <c r="AJ108" i="6"/>
  <c r="AG108" i="6" s="1"/>
  <c r="AI108" i="6" s="1"/>
  <c r="AJ109" i="6"/>
  <c r="AG109" i="6" s="1"/>
  <c r="AI109" i="6" s="1"/>
  <c r="AJ101" i="6"/>
  <c r="AG101" i="6" s="1"/>
  <c r="AI101" i="6" s="1"/>
  <c r="AJ100" i="6"/>
  <c r="Y53" i="6"/>
  <c r="P51" i="3"/>
  <c r="AB52" i="6" s="1"/>
  <c r="P52" i="3"/>
  <c r="P53" i="3"/>
  <c r="P54" i="3"/>
  <c r="P55" i="3"/>
  <c r="P56" i="3"/>
  <c r="P57" i="3"/>
  <c r="P58" i="3"/>
  <c r="P59" i="3"/>
  <c r="P60" i="3"/>
  <c r="AB61" i="6" s="1"/>
  <c r="P50" i="3"/>
  <c r="AJ94" i="6"/>
  <c r="AG94" i="6" s="1"/>
  <c r="AI94" i="6" s="1"/>
  <c r="AJ95" i="6"/>
  <c r="AG95" i="6" s="1"/>
  <c r="AI95" i="6" s="1"/>
  <c r="AJ96" i="6"/>
  <c r="AG96" i="6" s="1"/>
  <c r="AI96" i="6" s="1"/>
  <c r="AJ97" i="6"/>
  <c r="AG97" i="6" s="1"/>
  <c r="AI97" i="6" s="1"/>
  <c r="AJ98" i="6"/>
  <c r="AG98" i="6" s="1"/>
  <c r="AI98" i="6" s="1"/>
  <c r="AJ99" i="6"/>
  <c r="AG99" i="6" s="1"/>
  <c r="AI99" i="6" s="1"/>
  <c r="P49" i="3"/>
  <c r="P48" i="3"/>
  <c r="AJ93" i="6"/>
  <c r="AG93" i="6" s="1"/>
  <c r="AI93" i="6" s="1"/>
  <c r="AJ91" i="6"/>
  <c r="AG91" i="6" s="1"/>
  <c r="AI91" i="6" s="1"/>
  <c r="AJ92" i="6"/>
  <c r="AG92" i="6" s="1"/>
  <c r="AI92" i="6" s="1"/>
  <c r="P47" i="3"/>
  <c r="AB48" i="6" s="1"/>
  <c r="AP3" i="7"/>
  <c r="AR3" i="7" s="1"/>
  <c r="AP4" i="7"/>
  <c r="AR4" i="7" s="1"/>
  <c r="AP5" i="7"/>
  <c r="AR5" i="7" s="1"/>
  <c r="AP6" i="7"/>
  <c r="AR6" i="7" s="1"/>
  <c r="AP7" i="7"/>
  <c r="AR7" i="7" s="1"/>
  <c r="AP8" i="7"/>
  <c r="AR8" i="7" s="1"/>
  <c r="AP9" i="7"/>
  <c r="AR9" i="7" s="1"/>
  <c r="AP10" i="7"/>
  <c r="AR10" i="7" s="1"/>
  <c r="AP11" i="7"/>
  <c r="AR11" i="7" s="1"/>
  <c r="AP12" i="7"/>
  <c r="AR12" i="7" s="1"/>
  <c r="AP13" i="7"/>
  <c r="AR13" i="7" s="1"/>
  <c r="AP14" i="7"/>
  <c r="AR14" i="7" s="1"/>
  <c r="AP15" i="7"/>
  <c r="AR15" i="7" s="1"/>
  <c r="AP16" i="7"/>
  <c r="AR16" i="7" s="1"/>
  <c r="AP17" i="7"/>
  <c r="AR17" i="7" s="1"/>
  <c r="AP18" i="7"/>
  <c r="AR18" i="7" s="1"/>
  <c r="AP19" i="7"/>
  <c r="AR19" i="7" s="1"/>
  <c r="AP2" i="7"/>
  <c r="AR2" i="7" s="1"/>
  <c r="AF3" i="7"/>
  <c r="AJ89" i="6"/>
  <c r="AG89" i="6" s="1"/>
  <c r="AI89" i="6" s="1"/>
  <c r="AJ90" i="6"/>
  <c r="AG90" i="6" s="1"/>
  <c r="AI90" i="6" s="1"/>
  <c r="AJ87" i="6"/>
  <c r="AG87" i="6" s="1"/>
  <c r="AI87" i="6" s="1"/>
  <c r="AJ88" i="6"/>
  <c r="AG88" i="6" s="1"/>
  <c r="AI88" i="6" s="1"/>
  <c r="P46" i="3"/>
  <c r="AO53" i="6"/>
  <c r="Z48" i="6"/>
  <c r="AA48" i="6"/>
  <c r="Z49" i="6"/>
  <c r="AB49" i="6"/>
  <c r="Z50" i="6"/>
  <c r="AA50" i="6"/>
  <c r="AB50" i="6"/>
  <c r="Z51" i="6"/>
  <c r="AA51" i="6"/>
  <c r="AB51" i="6"/>
  <c r="Z52" i="6"/>
  <c r="AA52" i="6"/>
  <c r="Z53" i="6"/>
  <c r="AA53" i="6"/>
  <c r="AB53" i="6"/>
  <c r="Z54" i="6"/>
  <c r="AA54" i="6"/>
  <c r="AB54" i="6"/>
  <c r="Z55" i="6"/>
  <c r="AA55" i="6"/>
  <c r="AB55" i="6"/>
  <c r="Z56" i="6"/>
  <c r="AA56" i="6"/>
  <c r="AB56" i="6"/>
  <c r="Z57" i="6"/>
  <c r="AA57" i="6"/>
  <c r="AB57" i="6"/>
  <c r="Z58" i="6"/>
  <c r="AA58" i="6"/>
  <c r="AB58" i="6"/>
  <c r="Z59" i="6"/>
  <c r="AA59" i="6"/>
  <c r="AB59" i="6"/>
  <c r="Z60" i="6"/>
  <c r="AA60" i="6"/>
  <c r="AB60" i="6"/>
  <c r="Z61" i="6"/>
  <c r="AA61" i="6"/>
  <c r="Z62" i="6"/>
  <c r="AA62" i="6"/>
  <c r="AB62" i="6"/>
  <c r="Z63" i="6"/>
  <c r="AB63" i="6"/>
  <c r="Z64" i="6"/>
  <c r="AA64" i="6"/>
  <c r="AB64" i="6"/>
  <c r="Z65" i="6"/>
  <c r="AA65" i="6"/>
  <c r="AB65" i="6"/>
  <c r="Z66" i="6"/>
  <c r="AA66" i="6"/>
  <c r="AB66" i="6"/>
  <c r="AB47" i="6"/>
  <c r="Z47" i="6"/>
  <c r="AA47" i="6"/>
  <c r="Y48" i="6"/>
  <c r="AM48" i="6" s="1"/>
  <c r="Y49" i="6"/>
  <c r="AK49" i="6" s="1"/>
  <c r="Y50" i="6"/>
  <c r="AK50" i="6" s="1"/>
  <c r="Y51" i="6"/>
  <c r="AQ51" i="6" s="1"/>
  <c r="Y52" i="6"/>
  <c r="AO52" i="6" s="1"/>
  <c r="AM53" i="6"/>
  <c r="Y54" i="6"/>
  <c r="AM54" i="6" s="1"/>
  <c r="Y55" i="6"/>
  <c r="AM55" i="6" s="1"/>
  <c r="Y56" i="6"/>
  <c r="AQ56" i="6" s="1"/>
  <c r="Y57" i="6"/>
  <c r="AO57" i="6" s="1"/>
  <c r="Y58" i="6"/>
  <c r="AO58" i="6" s="1"/>
  <c r="Y59" i="6"/>
  <c r="AK59" i="6" s="1"/>
  <c r="Y60" i="6"/>
  <c r="AK60" i="6" s="1"/>
  <c r="Y61" i="6"/>
  <c r="AM61" i="6" s="1"/>
  <c r="Y62" i="6"/>
  <c r="AM62" i="6" s="1"/>
  <c r="Y63" i="6"/>
  <c r="AO63" i="6" s="1"/>
  <c r="Y64" i="6"/>
  <c r="AO64" i="6" s="1"/>
  <c r="Y65" i="6"/>
  <c r="AM65" i="6" s="1"/>
  <c r="Y66" i="6"/>
  <c r="AQ66" i="6" s="1"/>
  <c r="Y47" i="6"/>
  <c r="AQ47" i="6" s="1"/>
  <c r="AB20" i="6"/>
  <c r="AB21" i="6"/>
  <c r="AB22" i="6"/>
  <c r="AB23" i="6"/>
  <c r="AB24" i="6"/>
  <c r="AB25" i="6"/>
  <c r="AB26" i="6"/>
  <c r="AB27" i="6"/>
  <c r="AB28" i="6"/>
  <c r="AB29" i="6"/>
  <c r="AB31" i="6"/>
  <c r="AB32" i="6"/>
  <c r="AB33" i="6"/>
  <c r="AB34" i="6"/>
  <c r="AB35" i="6"/>
  <c r="AB36" i="6"/>
  <c r="AB37" i="6"/>
  <c r="AB38" i="6"/>
  <c r="AB39" i="6"/>
  <c r="AB40" i="6"/>
  <c r="AB41" i="6"/>
  <c r="AB42" i="6"/>
  <c r="AB43" i="6"/>
  <c r="AB45" i="6"/>
  <c r="AB46" i="6"/>
  <c r="AJ4" i="6"/>
  <c r="AJ5" i="6"/>
  <c r="AJ6" i="6"/>
  <c r="AJ7" i="6"/>
  <c r="AJ8" i="6"/>
  <c r="AJ9" i="6"/>
  <c r="AG9" i="6" s="1"/>
  <c r="AJ10" i="6"/>
  <c r="AG10" i="6" s="1"/>
  <c r="AJ11" i="6"/>
  <c r="AG11" i="6" s="1"/>
  <c r="AJ12" i="6"/>
  <c r="AJ13" i="6"/>
  <c r="AJ14" i="6"/>
  <c r="AJ15" i="6"/>
  <c r="AJ16" i="6"/>
  <c r="AJ17" i="6"/>
  <c r="AG17" i="6" s="1"/>
  <c r="AJ18" i="6"/>
  <c r="AG18" i="6" s="1"/>
  <c r="AJ19" i="6"/>
  <c r="AG19" i="6" s="1"/>
  <c r="AJ20" i="6"/>
  <c r="AJ21" i="6"/>
  <c r="AJ22" i="6"/>
  <c r="AJ23" i="6"/>
  <c r="AJ24" i="6"/>
  <c r="AJ25" i="6"/>
  <c r="AG25" i="6" s="1"/>
  <c r="AJ26" i="6"/>
  <c r="AG26" i="6" s="1"/>
  <c r="AJ27" i="6"/>
  <c r="AG27" i="6" s="1"/>
  <c r="AJ28" i="6"/>
  <c r="AJ29" i="6"/>
  <c r="AJ30" i="6"/>
  <c r="AJ31" i="6"/>
  <c r="AJ32" i="6"/>
  <c r="AJ33" i="6"/>
  <c r="AG33" i="6" s="1"/>
  <c r="AJ34" i="6"/>
  <c r="AG34" i="6" s="1"/>
  <c r="AJ35" i="6"/>
  <c r="AG35" i="6" s="1"/>
  <c r="AJ36" i="6"/>
  <c r="AJ37" i="6"/>
  <c r="AJ38" i="6"/>
  <c r="AJ39" i="6"/>
  <c r="AJ40" i="6"/>
  <c r="AJ41" i="6"/>
  <c r="AG41" i="6" s="1"/>
  <c r="AJ42" i="6"/>
  <c r="AG42" i="6" s="1"/>
  <c r="AJ43" i="6"/>
  <c r="AG43" i="6" s="1"/>
  <c r="AJ44" i="6"/>
  <c r="AJ45" i="6"/>
  <c r="AJ46" i="6"/>
  <c r="AJ47" i="6"/>
  <c r="AJ48" i="6"/>
  <c r="AJ49" i="6"/>
  <c r="AG49" i="6" s="1"/>
  <c r="AJ50" i="6"/>
  <c r="AG50" i="6" s="1"/>
  <c r="AJ51" i="6"/>
  <c r="AG51" i="6" s="1"/>
  <c r="AJ52" i="6"/>
  <c r="AJ53" i="6"/>
  <c r="AJ54" i="6"/>
  <c r="AJ55" i="6"/>
  <c r="AG55" i="6" s="1"/>
  <c r="AJ56" i="6"/>
  <c r="AJ57" i="6"/>
  <c r="AG57" i="6" s="1"/>
  <c r="AJ58" i="6"/>
  <c r="AG58" i="6" s="1"/>
  <c r="AJ59" i="6"/>
  <c r="AG59" i="6" s="1"/>
  <c r="AJ60" i="6"/>
  <c r="AJ61" i="6"/>
  <c r="AJ62" i="6"/>
  <c r="AJ63" i="6"/>
  <c r="AG63" i="6" s="1"/>
  <c r="AI63" i="6" s="1"/>
  <c r="AJ64" i="6"/>
  <c r="AG64" i="6" s="1"/>
  <c r="AI64" i="6" s="1"/>
  <c r="AJ65" i="6"/>
  <c r="AG65" i="6" s="1"/>
  <c r="AI65" i="6" s="1"/>
  <c r="AJ66" i="6"/>
  <c r="AG66" i="6" s="1"/>
  <c r="AI66" i="6" s="1"/>
  <c r="AJ67" i="6"/>
  <c r="AG67" i="6" s="1"/>
  <c r="AI67" i="6" s="1"/>
  <c r="AJ68" i="6"/>
  <c r="AG68" i="6" s="1"/>
  <c r="AI68" i="6" s="1"/>
  <c r="AJ69" i="6"/>
  <c r="AG69" i="6" s="1"/>
  <c r="AI69" i="6" s="1"/>
  <c r="AJ70" i="6"/>
  <c r="AG70" i="6" s="1"/>
  <c r="AI70" i="6" s="1"/>
  <c r="AJ71" i="6"/>
  <c r="AG71" i="6" s="1"/>
  <c r="AI71" i="6" s="1"/>
  <c r="AJ72" i="6"/>
  <c r="AG72" i="6" s="1"/>
  <c r="AI72" i="6" s="1"/>
  <c r="AJ73" i="6"/>
  <c r="AG73" i="6" s="1"/>
  <c r="AI73" i="6" s="1"/>
  <c r="AJ74" i="6"/>
  <c r="AG74" i="6" s="1"/>
  <c r="AI74" i="6" s="1"/>
  <c r="AJ75" i="6"/>
  <c r="AG75" i="6" s="1"/>
  <c r="AI75" i="6" s="1"/>
  <c r="AJ76" i="6"/>
  <c r="AG76" i="6" s="1"/>
  <c r="AI76" i="6" s="1"/>
  <c r="AJ77" i="6"/>
  <c r="AG77" i="6" s="1"/>
  <c r="AI77" i="6" s="1"/>
  <c r="AJ78" i="6"/>
  <c r="AG78" i="6" s="1"/>
  <c r="AI78" i="6" s="1"/>
  <c r="AJ79" i="6"/>
  <c r="AG79" i="6" s="1"/>
  <c r="AI79" i="6" s="1"/>
  <c r="AJ80" i="6"/>
  <c r="AG80" i="6" s="1"/>
  <c r="AI80" i="6" s="1"/>
  <c r="AJ81" i="6"/>
  <c r="AG81" i="6" s="1"/>
  <c r="AI81" i="6" s="1"/>
  <c r="AJ82" i="6"/>
  <c r="AG82" i="6" s="1"/>
  <c r="AI82" i="6" s="1"/>
  <c r="AJ83" i="6"/>
  <c r="AG83" i="6" s="1"/>
  <c r="AI83" i="6" s="1"/>
  <c r="AJ84" i="6"/>
  <c r="AG84" i="6" s="1"/>
  <c r="AI84" i="6" s="1"/>
  <c r="AJ85" i="6"/>
  <c r="AG85" i="6" s="1"/>
  <c r="AI85" i="6" s="1"/>
  <c r="AJ86" i="6"/>
  <c r="AG86" i="6" s="1"/>
  <c r="AI86" i="6" s="1"/>
  <c r="AJ3" i="6"/>
  <c r="AG3" i="6" s="1"/>
  <c r="AI3" i="6" s="1"/>
  <c r="AC8" i="6"/>
  <c r="AB7" i="6" s="1"/>
  <c r="AC16" i="6"/>
  <c r="AB15" i="6" s="1"/>
  <c r="AC28" i="6"/>
  <c r="AC34" i="6"/>
  <c r="AC41" i="6"/>
  <c r="P3" i="3"/>
  <c r="AC5" i="6" s="1"/>
  <c r="AB4" i="6" s="1"/>
  <c r="BV2" i="1"/>
  <c r="P6" i="3"/>
  <c r="N6" i="1"/>
  <c r="D3" i="1"/>
  <c r="D4" i="1"/>
  <c r="D5" i="1"/>
  <c r="D6" i="1"/>
  <c r="D7" i="1"/>
  <c r="D8" i="1"/>
  <c r="D9" i="1"/>
  <c r="D10" i="1"/>
  <c r="D11" i="1"/>
  <c r="D12" i="1"/>
  <c r="D13" i="1"/>
  <c r="D2" i="1"/>
  <c r="A6" i="2"/>
  <c r="A5" i="2"/>
  <c r="A4" i="2"/>
  <c r="A3" i="2"/>
  <c r="E3" i="2"/>
  <c r="E4" i="2" s="1"/>
  <c r="E5" i="2" s="1"/>
  <c r="CF2" i="1"/>
  <c r="CA6" i="1"/>
  <c r="CA3" i="1"/>
  <c r="CA4" i="1"/>
  <c r="CA5" i="1"/>
  <c r="CA2" i="1"/>
  <c r="BV5" i="1"/>
  <c r="BV3" i="1"/>
  <c r="BV4" i="1"/>
  <c r="BQ3" i="1"/>
  <c r="BQ4" i="1"/>
  <c r="BQ2" i="1"/>
  <c r="BL6" i="1"/>
  <c r="BL8" i="1"/>
  <c r="BL7" i="1"/>
  <c r="BL3" i="1"/>
  <c r="BL5" i="1"/>
  <c r="BL2" i="1"/>
  <c r="BL4" i="1"/>
  <c r="BG4" i="1"/>
  <c r="BG5" i="1"/>
  <c r="BG2" i="1"/>
  <c r="BG3" i="1"/>
  <c r="BB8" i="1"/>
  <c r="BB6" i="1"/>
  <c r="BB7" i="1"/>
  <c r="BB3" i="1"/>
  <c r="BB4" i="1"/>
  <c r="BB2" i="1"/>
  <c r="BB5" i="1"/>
  <c r="BB9" i="1"/>
  <c r="AW2" i="1"/>
  <c r="AW4" i="1"/>
  <c r="AW3" i="1"/>
  <c r="AR2" i="1"/>
  <c r="AR6" i="1"/>
  <c r="AR3" i="1"/>
  <c r="AR4" i="1"/>
  <c r="AR7" i="1"/>
  <c r="AR5" i="1"/>
  <c r="AM4" i="1"/>
  <c r="AM5" i="1"/>
  <c r="AM2" i="1"/>
  <c r="AM3" i="1"/>
  <c r="AH2" i="1"/>
  <c r="AH5" i="1"/>
  <c r="AH4" i="1"/>
  <c r="AH7" i="1"/>
  <c r="AH6" i="1"/>
  <c r="AH3" i="1"/>
  <c r="AC2" i="1"/>
  <c r="X2" i="1"/>
  <c r="X3" i="1"/>
  <c r="X4" i="1"/>
  <c r="X6" i="1"/>
  <c r="X5" i="1"/>
  <c r="S2" i="1"/>
  <c r="S7" i="1"/>
  <c r="S8" i="1"/>
  <c r="S5" i="1"/>
  <c r="S6" i="1"/>
  <c r="S3" i="1"/>
  <c r="S4" i="1"/>
  <c r="N2" i="1"/>
  <c r="N5" i="1"/>
  <c r="N4" i="1"/>
  <c r="N3" i="1"/>
  <c r="P30" i="3"/>
  <c r="AC32" i="6" s="1"/>
  <c r="P20" i="3"/>
  <c r="AC22" i="6" s="1"/>
  <c r="P44" i="3"/>
  <c r="AC46" i="6" s="1"/>
  <c r="P29" i="3"/>
  <c r="AC31" i="6" s="1"/>
  <c r="P43" i="3"/>
  <c r="AC45" i="6" s="1"/>
  <c r="P40" i="3"/>
  <c r="AC42" i="6" s="1"/>
  <c r="P8" i="3"/>
  <c r="AC10" i="6" s="1"/>
  <c r="AB9" i="6" s="1"/>
  <c r="P27" i="3"/>
  <c r="AC29" i="6" s="1"/>
  <c r="P35" i="3"/>
  <c r="AC37" i="6" s="1"/>
  <c r="P4" i="3"/>
  <c r="AC6" i="6" s="1"/>
  <c r="AB5" i="6" s="1"/>
  <c r="P7" i="3"/>
  <c r="AC9" i="6" s="1"/>
  <c r="AB8" i="6" s="1"/>
  <c r="P21" i="3"/>
  <c r="AC23" i="6" s="1"/>
  <c r="P23" i="3"/>
  <c r="AC25" i="6" s="1"/>
  <c r="P28" i="3"/>
  <c r="AC30" i="6" s="1"/>
  <c r="P2" i="3"/>
  <c r="AC4" i="6" s="1"/>
  <c r="AB3" i="6" s="1"/>
  <c r="P17" i="3"/>
  <c r="AC18" i="6" s="1"/>
  <c r="AB17" i="6" s="1"/>
  <c r="AN17" i="6" s="1"/>
  <c r="P13" i="3"/>
  <c r="AC14" i="6" s="1"/>
  <c r="AB13" i="6" s="1"/>
  <c r="P5" i="3"/>
  <c r="AC7" i="6" s="1"/>
  <c r="AB6" i="6" s="1"/>
  <c r="P45" i="3"/>
  <c r="AC47" i="6" s="1"/>
  <c r="P34" i="3"/>
  <c r="AC36" i="6" s="1"/>
  <c r="P12" i="3"/>
  <c r="AC13" i="6" s="1"/>
  <c r="AB12" i="6" s="1"/>
  <c r="P9" i="3"/>
  <c r="AC11" i="6" s="1"/>
  <c r="AB10" i="6" s="1"/>
  <c r="P11" i="3"/>
  <c r="AC19" i="6" s="1"/>
  <c r="AB18" i="6" s="1"/>
  <c r="AN18" i="6" s="1"/>
  <c r="P36" i="3"/>
  <c r="AC38" i="6" s="1"/>
  <c r="P31" i="3"/>
  <c r="AC33" i="6" s="1"/>
  <c r="P32" i="3"/>
  <c r="P39" i="3"/>
  <c r="P15" i="3"/>
  <c r="P24" i="3"/>
  <c r="AC26" i="6" s="1"/>
  <c r="P22" i="3"/>
  <c r="AC24" i="6" s="1"/>
  <c r="P33" i="3"/>
  <c r="AC35" i="6" s="1"/>
  <c r="P16" i="3"/>
  <c r="AC17" i="6" s="1"/>
  <c r="AB16" i="6" s="1"/>
  <c r="P14" i="3"/>
  <c r="AC15" i="6" s="1"/>
  <c r="AB14" i="6" s="1"/>
  <c r="P26" i="3"/>
  <c r="P38" i="3"/>
  <c r="AC40" i="6" s="1"/>
  <c r="P42" i="3"/>
  <c r="AC44" i="6" s="1"/>
  <c r="P37" i="3"/>
  <c r="AC39" i="6" s="1"/>
  <c r="P41" i="3"/>
  <c r="AC43" i="6" s="1"/>
  <c r="P10" i="3"/>
  <c r="AC12" i="6" s="1"/>
  <c r="AB11" i="6" s="1"/>
  <c r="P18" i="3"/>
  <c r="AC20" i="6" s="1"/>
  <c r="AB19" i="6" s="1"/>
  <c r="P19" i="3"/>
  <c r="AC21" i="6" s="1"/>
  <c r="P25" i="3"/>
  <c r="AC27" i="6" s="1"/>
  <c r="I15" i="1"/>
  <c r="I16" i="1"/>
  <c r="I17" i="1"/>
  <c r="I8" i="1"/>
  <c r="I14" i="1"/>
  <c r="I4" i="1"/>
  <c r="I3" i="1"/>
  <c r="I5" i="1"/>
  <c r="I7" i="1"/>
  <c r="I9" i="1"/>
  <c r="I10" i="1"/>
  <c r="I11" i="1"/>
  <c r="I6" i="1"/>
  <c r="I12" i="1"/>
  <c r="I13" i="1"/>
  <c r="I2" i="1"/>
  <c r="AB44" i="6" l="1"/>
  <c r="E7" i="2"/>
  <c r="E8" i="2" s="1"/>
  <c r="E9" i="2" s="1"/>
  <c r="AQ53" i="6"/>
  <c r="AM63" i="6"/>
  <c r="AQ63" i="6"/>
  <c r="AK64" i="6"/>
  <c r="AK63" i="6"/>
  <c r="AM64" i="6"/>
  <c r="AR50" i="6"/>
  <c r="AO65" i="6"/>
  <c r="AQ64" i="6"/>
  <c r="AR49" i="6"/>
  <c r="AP48" i="6"/>
  <c r="AO66" i="6"/>
  <c r="AQ65" i="6"/>
  <c r="AR48" i="6"/>
  <c r="AO54" i="6"/>
  <c r="AK66" i="6"/>
  <c r="AR47" i="6"/>
  <c r="AP50" i="6"/>
  <c r="AK61" i="6"/>
  <c r="AM60" i="6"/>
  <c r="AO59" i="6"/>
  <c r="AQ58" i="6"/>
  <c r="AM58" i="6"/>
  <c r="AK55" i="6"/>
  <c r="AK56" i="6"/>
  <c r="AO55" i="6"/>
  <c r="AQ55" i="6"/>
  <c r="AQ54" i="6"/>
  <c r="AK58" i="6"/>
  <c r="AO56" i="6"/>
  <c r="AL48" i="6"/>
  <c r="AM59" i="6"/>
  <c r="AK57" i="6"/>
  <c r="AN48" i="6"/>
  <c r="AM56" i="6"/>
  <c r="AK54" i="6"/>
  <c r="AO48" i="6"/>
  <c r="AK65" i="6"/>
  <c r="AL49" i="6"/>
  <c r="AK53" i="6"/>
  <c r="AQ62" i="6"/>
  <c r="AN50" i="6"/>
  <c r="AM57" i="6"/>
  <c r="AL50" i="6"/>
  <c r="AO62" i="6"/>
  <c r="AQ61" i="6"/>
  <c r="AN49" i="6"/>
  <c r="AO61" i="6"/>
  <c r="AQ60" i="6"/>
  <c r="AM66" i="6"/>
  <c r="AK62" i="6"/>
  <c r="AO60" i="6"/>
  <c r="AQ59" i="6"/>
  <c r="AL47" i="6"/>
  <c r="AP49" i="6"/>
  <c r="AN47" i="6"/>
  <c r="AN33" i="6"/>
  <c r="AQ57" i="6"/>
  <c r="AP47" i="6"/>
  <c r="AQ52" i="6"/>
  <c r="AM52" i="6"/>
  <c r="AK52" i="6"/>
  <c r="AM51" i="6"/>
  <c r="AK51" i="6"/>
  <c r="AO51" i="6"/>
  <c r="AM50" i="6"/>
  <c r="AO50" i="6"/>
  <c r="AQ50" i="6"/>
  <c r="AO49" i="6"/>
  <c r="AQ49" i="6"/>
  <c r="AM49" i="6"/>
  <c r="AQ48" i="6"/>
  <c r="AK48" i="6"/>
  <c r="AB30" i="6"/>
  <c r="AN30" i="6" s="1"/>
  <c r="V2" i="7" a="1"/>
  <c r="V2" i="7" s="1"/>
  <c r="AK47" i="6"/>
  <c r="AM47" i="6"/>
  <c r="AO47" i="6"/>
  <c r="AG56" i="6"/>
  <c r="AI56" i="6" s="1"/>
  <c r="AG48" i="6"/>
  <c r="AI48" i="6" s="1"/>
  <c r="AG40" i="6"/>
  <c r="AI40" i="6" s="1"/>
  <c r="AG32" i="6"/>
  <c r="AI32" i="6" s="1"/>
  <c r="AG24" i="6"/>
  <c r="AI24" i="6" s="1"/>
  <c r="AG16" i="6"/>
  <c r="AI16" i="6" s="1"/>
  <c r="AG8" i="6"/>
  <c r="AI8" i="6" s="1"/>
  <c r="AG47" i="6"/>
  <c r="AI47" i="6" s="1"/>
  <c r="AG39" i="6"/>
  <c r="AI39" i="6" s="1"/>
  <c r="AG31" i="6"/>
  <c r="AI31" i="6" s="1"/>
  <c r="AG23" i="6"/>
  <c r="AI23" i="6" s="1"/>
  <c r="AG15" i="6"/>
  <c r="AI15" i="6" s="1"/>
  <c r="AG7" i="6"/>
  <c r="AI7" i="6" s="1"/>
  <c r="AG62" i="6"/>
  <c r="AI62" i="6" s="1"/>
  <c r="AG54" i="6"/>
  <c r="AI54" i="6" s="1"/>
  <c r="AG46" i="6"/>
  <c r="AI46" i="6" s="1"/>
  <c r="AG38" i="6"/>
  <c r="AI38" i="6" s="1"/>
  <c r="AG30" i="6"/>
  <c r="AI30" i="6" s="1"/>
  <c r="AG22" i="6"/>
  <c r="AI22" i="6" s="1"/>
  <c r="AG14" i="6"/>
  <c r="AI14" i="6" s="1"/>
  <c r="AG6" i="6"/>
  <c r="AI6" i="6" s="1"/>
  <c r="AI10" i="6"/>
  <c r="AG61" i="6"/>
  <c r="AI61" i="6" s="1"/>
  <c r="AG53" i="6"/>
  <c r="AI53" i="6" s="1"/>
  <c r="AG45" i="6"/>
  <c r="AI45" i="6" s="1"/>
  <c r="AG37" i="6"/>
  <c r="AI37" i="6" s="1"/>
  <c r="AG29" i="6"/>
  <c r="AI29" i="6" s="1"/>
  <c r="AG21" i="6"/>
  <c r="AI21" i="6" s="1"/>
  <c r="AG13" i="6"/>
  <c r="AI13" i="6" s="1"/>
  <c r="AG5" i="6"/>
  <c r="AI5" i="6" s="1"/>
  <c r="AI55" i="6"/>
  <c r="AI58" i="6"/>
  <c r="AI50" i="6"/>
  <c r="AI42" i="6"/>
  <c r="AI34" i="6"/>
  <c r="AI26" i="6"/>
  <c r="AI18" i="6"/>
  <c r="AI57" i="6"/>
  <c r="AI49" i="6"/>
  <c r="AI41" i="6"/>
  <c r="AI33" i="6"/>
  <c r="AI25" i="6"/>
  <c r="AI17" i="6"/>
  <c r="AI9" i="6"/>
  <c r="AG60" i="6"/>
  <c r="AI60" i="6" s="1"/>
  <c r="AG52" i="6"/>
  <c r="AI52" i="6" s="1"/>
  <c r="AG44" i="6"/>
  <c r="AI44" i="6" s="1"/>
  <c r="AG36" i="6"/>
  <c r="AI36" i="6" s="1"/>
  <c r="AG28" i="6"/>
  <c r="AI28" i="6" s="1"/>
  <c r="AG20" i="6"/>
  <c r="AI20" i="6" s="1"/>
  <c r="AG12" i="6"/>
  <c r="AI12" i="6" s="1"/>
  <c r="AG4" i="6"/>
  <c r="AI4" i="6" s="1"/>
  <c r="AI59" i="6"/>
  <c r="AI51" i="6"/>
  <c r="AI43" i="6"/>
  <c r="AI35" i="6"/>
  <c r="AI27" i="6"/>
  <c r="AI19" i="6"/>
  <c r="AI11" i="6"/>
  <c r="AN41" i="6"/>
  <c r="AR41" i="6"/>
  <c r="AL41" i="6"/>
  <c r="AN9" i="6"/>
  <c r="AL9" i="6"/>
  <c r="AN25" i="6"/>
  <c r="AL25" i="6"/>
  <c r="AN42" i="6"/>
  <c r="AL42" i="6"/>
  <c r="AN34" i="6"/>
  <c r="AL34" i="6"/>
  <c r="AN26" i="6"/>
  <c r="AL26" i="6"/>
  <c r="AN10" i="6"/>
  <c r="AL10" i="6"/>
  <c r="AL33" i="6"/>
  <c r="AL18" i="6"/>
  <c r="AL17" i="6"/>
  <c r="AR16" i="6"/>
  <c r="AP16" i="6"/>
  <c r="AL16" i="6"/>
  <c r="AN16" i="6"/>
  <c r="AN24" i="6"/>
  <c r="AL24" i="6"/>
  <c r="AP24" i="6"/>
  <c r="AR24" i="6"/>
  <c r="AR3" i="6"/>
  <c r="AL3" i="6"/>
  <c r="AN39" i="6"/>
  <c r="AL39" i="6"/>
  <c r="AR39" i="6"/>
  <c r="AP39" i="6"/>
  <c r="AN31" i="6"/>
  <c r="AP31" i="6"/>
  <c r="AL31" i="6"/>
  <c r="AR31" i="6"/>
  <c r="AN23" i="6"/>
  <c r="AR23" i="6"/>
  <c r="AL23" i="6"/>
  <c r="AP23" i="6"/>
  <c r="AL14" i="6"/>
  <c r="AR14" i="6"/>
  <c r="AN14" i="6"/>
  <c r="AP14" i="6"/>
  <c r="AR7" i="6"/>
  <c r="AN7" i="6"/>
  <c r="AL7" i="6"/>
  <c r="AP7" i="6"/>
  <c r="AL46" i="6"/>
  <c r="AR46" i="6"/>
  <c r="AN46" i="6"/>
  <c r="AP46" i="6"/>
  <c r="AL38" i="6"/>
  <c r="AP38" i="6"/>
  <c r="AR38" i="6"/>
  <c r="AN38" i="6"/>
  <c r="AP30" i="6"/>
  <c r="AR30" i="6"/>
  <c r="AN22" i="6"/>
  <c r="AL22" i="6"/>
  <c r="AP22" i="6"/>
  <c r="AR22" i="6"/>
  <c r="AL13" i="6"/>
  <c r="AN13" i="6"/>
  <c r="AP13" i="6"/>
  <c r="AR13" i="6"/>
  <c r="AL6" i="6"/>
  <c r="AP6" i="6"/>
  <c r="AN6" i="6"/>
  <c r="AR6" i="6"/>
  <c r="AN32" i="6"/>
  <c r="AP32" i="6"/>
  <c r="AR32" i="6"/>
  <c r="AL32" i="6"/>
  <c r="AL45" i="6"/>
  <c r="AR45" i="6"/>
  <c r="AN45" i="6"/>
  <c r="AP45" i="6"/>
  <c r="AL12" i="6"/>
  <c r="AN12" i="6"/>
  <c r="AP12" i="6"/>
  <c r="AR12" i="6"/>
  <c r="AL5" i="6"/>
  <c r="AR5" i="6"/>
  <c r="AN5" i="6"/>
  <c r="AP5" i="6"/>
  <c r="AL29" i="6"/>
  <c r="AN29" i="6"/>
  <c r="AR29" i="6"/>
  <c r="AP29" i="6"/>
  <c r="AL36" i="6"/>
  <c r="AR36" i="6"/>
  <c r="AN36" i="6"/>
  <c r="AP36" i="6"/>
  <c r="AL28" i="6"/>
  <c r="AR28" i="6"/>
  <c r="AP28" i="6"/>
  <c r="AN28" i="6"/>
  <c r="AL20" i="6"/>
  <c r="AP20" i="6"/>
  <c r="AR20" i="6"/>
  <c r="AN20" i="6"/>
  <c r="AL4" i="6"/>
  <c r="AN4" i="6"/>
  <c r="AP4" i="6"/>
  <c r="AR4" i="6"/>
  <c r="AP40" i="6"/>
  <c r="AL40" i="6"/>
  <c r="AR40" i="6"/>
  <c r="AN40" i="6"/>
  <c r="AL15" i="6"/>
  <c r="AN15" i="6"/>
  <c r="AP15" i="6"/>
  <c r="AR15" i="6"/>
  <c r="AN21" i="6"/>
  <c r="AL21" i="6"/>
  <c r="AP21" i="6"/>
  <c r="AR21" i="6"/>
  <c r="AN43" i="6"/>
  <c r="AP43" i="6"/>
  <c r="AL43" i="6"/>
  <c r="AR43" i="6"/>
  <c r="AR35" i="6"/>
  <c r="AN35" i="6"/>
  <c r="AP35" i="6"/>
  <c r="AL35" i="6"/>
  <c r="AR27" i="6"/>
  <c r="AN27" i="6"/>
  <c r="AP27" i="6"/>
  <c r="AL27" i="6"/>
  <c r="AR19" i="6"/>
  <c r="AN19" i="6"/>
  <c r="AL19" i="6"/>
  <c r="AP19" i="6"/>
  <c r="AN11" i="6"/>
  <c r="AP11" i="6"/>
  <c r="AR11" i="6"/>
  <c r="AL11" i="6"/>
  <c r="AP8" i="6"/>
  <c r="AR8" i="6"/>
  <c r="AL8" i="6"/>
  <c r="AN8" i="6"/>
  <c r="AL37" i="6"/>
  <c r="AR37" i="6"/>
  <c r="AN37" i="6"/>
  <c r="AP37" i="6"/>
  <c r="AL44" i="6"/>
  <c r="AR44" i="6"/>
  <c r="AN44" i="6"/>
  <c r="AP44" i="6"/>
  <c r="AR33" i="6"/>
  <c r="AR9" i="6"/>
  <c r="AR17" i="6"/>
  <c r="AR25" i="6"/>
  <c r="AR42" i="6"/>
  <c r="AR34" i="6"/>
  <c r="AR26" i="6"/>
  <c r="AR18" i="6"/>
  <c r="AR10" i="6"/>
  <c r="AP42" i="6"/>
  <c r="AP34" i="6"/>
  <c r="AP26" i="6"/>
  <c r="AP18" i="6"/>
  <c r="AP10" i="6"/>
  <c r="AP41" i="6"/>
  <c r="AP33" i="6"/>
  <c r="AP25" i="6"/>
  <c r="AP17" i="6"/>
  <c r="AP9" i="6"/>
  <c r="AN3" i="6"/>
  <c r="AP3" i="6"/>
  <c r="C3" i="6" l="1" a="1"/>
  <c r="C3" i="6" s="1"/>
  <c r="G3" i="6" a="1"/>
  <c r="G3" i="6" s="1"/>
  <c r="E3" i="6" a="1"/>
  <c r="E3" i="6" s="1"/>
  <c r="E11" i="2"/>
  <c r="AL30" i="6"/>
  <c r="A3" i="6" s="1" a="1"/>
  <c r="A3" i="6" s="1"/>
  <c r="P109" i="6" l="1"/>
  <c r="P101" i="6"/>
  <c r="P93" i="6"/>
  <c r="P92" i="6"/>
  <c r="P111" i="6"/>
  <c r="P96" i="6"/>
  <c r="P108" i="6"/>
  <c r="P94" i="6"/>
  <c r="P103" i="6"/>
  <c r="P107" i="6"/>
  <c r="P105" i="6"/>
  <c r="P102" i="6"/>
  <c r="P99" i="6"/>
  <c r="P98" i="6"/>
  <c r="P100" i="6"/>
  <c r="P104" i="6"/>
  <c r="P113" i="6"/>
  <c r="P110" i="6"/>
  <c r="P114" i="6"/>
  <c r="P97" i="6"/>
  <c r="P106" i="6"/>
  <c r="P112" i="6"/>
  <c r="P95" i="6"/>
  <c r="E12" i="2"/>
  <c r="E13" i="2" s="1"/>
  <c r="E14" i="2" s="1"/>
  <c r="E15" i="2" s="1"/>
  <c r="P29" i="6"/>
  <c r="P41" i="6" l="1"/>
  <c r="P64" i="6"/>
  <c r="P23" i="6"/>
  <c r="P87" i="6"/>
  <c r="P54" i="6"/>
  <c r="P36" i="6"/>
  <c r="P66" i="6"/>
  <c r="P83" i="6"/>
  <c r="P45" i="6"/>
  <c r="P19" i="6"/>
  <c r="P44" i="6"/>
  <c r="P26" i="6"/>
  <c r="P27" i="6"/>
  <c r="P49" i="6"/>
  <c r="P72" i="6"/>
  <c r="P8" i="6"/>
  <c r="P31" i="6"/>
  <c r="P62" i="6"/>
  <c r="P82" i="6"/>
  <c r="P53" i="6"/>
  <c r="P4" i="6"/>
  <c r="P28" i="6"/>
  <c r="P75" i="6"/>
  <c r="P11" i="6"/>
  <c r="P33" i="6"/>
  <c r="P56" i="6"/>
  <c r="P79" i="6"/>
  <c r="P15" i="6"/>
  <c r="P46" i="6"/>
  <c r="P42" i="6"/>
  <c r="P37" i="6"/>
  <c r="P84" i="6"/>
  <c r="P20" i="6"/>
  <c r="P67" i="6"/>
  <c r="P10" i="6"/>
  <c r="P25" i="6"/>
  <c r="P48" i="6"/>
  <c r="P71" i="6"/>
  <c r="P7" i="6"/>
  <c r="P38" i="6"/>
  <c r="P18" i="6"/>
  <c r="P3" i="6"/>
  <c r="P90" i="6"/>
  <c r="P89" i="6"/>
  <c r="P91" i="6"/>
  <c r="P76" i="6"/>
  <c r="P12" i="6"/>
  <c r="P59" i="6"/>
  <c r="P81" i="6"/>
  <c r="P17" i="6"/>
  <c r="P40" i="6"/>
  <c r="P63" i="6"/>
  <c r="P58" i="6"/>
  <c r="P30" i="6"/>
  <c r="P85" i="6"/>
  <c r="P21" i="6"/>
  <c r="P68" i="6"/>
  <c r="P74" i="6"/>
  <c r="P51" i="6"/>
  <c r="P73" i="6"/>
  <c r="P9" i="6"/>
  <c r="P32" i="6"/>
  <c r="P55" i="6"/>
  <c r="P86" i="6"/>
  <c r="P22" i="6"/>
  <c r="P77" i="6"/>
  <c r="P13" i="6"/>
  <c r="P60" i="6"/>
  <c r="P50" i="6"/>
  <c r="P43" i="6"/>
  <c r="P65" i="6"/>
  <c r="P88" i="6"/>
  <c r="P24" i="6"/>
  <c r="P47" i="6"/>
  <c r="P78" i="6"/>
  <c r="P14" i="6"/>
  <c r="P69" i="6"/>
  <c r="P5" i="6"/>
  <c r="P52" i="6"/>
  <c r="P34" i="6"/>
  <c r="P35" i="6"/>
  <c r="P57" i="6"/>
  <c r="P80" i="6"/>
  <c r="P16" i="6"/>
  <c r="P39" i="6"/>
  <c r="P70" i="6"/>
  <c r="P6" i="6"/>
  <c r="P61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<sst xmlns="http://schemas.openxmlformats.org/spreadsheetml/2006/main" count="1459" uniqueCount="203">
  <si>
    <t>噴火龍</t>
    <phoneticPr fontId="1" type="noConversion"/>
  </si>
  <si>
    <t>閃焰王牌</t>
    <phoneticPr fontId="1" type="noConversion"/>
  </si>
  <si>
    <t>基礎攻擊</t>
    <phoneticPr fontId="1" type="noConversion"/>
  </si>
  <si>
    <t>火系</t>
    <phoneticPr fontId="1" type="noConversion"/>
  </si>
  <si>
    <t>達摩狒狒</t>
    <phoneticPr fontId="1" type="noConversion"/>
  </si>
  <si>
    <t>G</t>
    <phoneticPr fontId="1" type="noConversion"/>
  </si>
  <si>
    <t>D</t>
    <phoneticPr fontId="1" type="noConversion"/>
  </si>
  <si>
    <t>火焰鳥</t>
  </si>
  <si>
    <t>炎帝</t>
    <phoneticPr fontId="1" type="noConversion"/>
  </si>
  <si>
    <t>超級巨/極巨</t>
    <phoneticPr fontId="1" type="noConversion"/>
  </si>
  <si>
    <t>輸出</t>
    <phoneticPr fontId="1" type="noConversion"/>
  </si>
  <si>
    <t>水系</t>
    <phoneticPr fontId="1" type="noConversion"/>
  </si>
  <si>
    <t>火恐龍</t>
    <phoneticPr fontId="1" type="noConversion"/>
  </si>
  <si>
    <t>火紅不倒翁</t>
    <phoneticPr fontId="1" type="noConversion"/>
  </si>
  <si>
    <t>騰蹴小將</t>
  </si>
  <si>
    <t>炎兔兒</t>
    <phoneticPr fontId="1" type="noConversion"/>
  </si>
  <si>
    <t>小火龍</t>
    <phoneticPr fontId="1" type="noConversion"/>
  </si>
  <si>
    <t>千面避役</t>
    <phoneticPr fontId="1" type="noConversion"/>
  </si>
  <si>
    <t>武道熊師(連)</t>
    <phoneticPr fontId="1" type="noConversion"/>
  </si>
  <si>
    <t>巨鉗蟹</t>
    <phoneticPr fontId="1" type="noConversion"/>
  </si>
  <si>
    <t>鐮刀盔</t>
  </si>
  <si>
    <t>菊石獸</t>
  </si>
  <si>
    <t>大鉗蟹</t>
    <phoneticPr fontId="1" type="noConversion"/>
  </si>
  <si>
    <t>水君</t>
    <phoneticPr fontId="1" type="noConversion"/>
  </si>
  <si>
    <t>吼鯨王</t>
    <phoneticPr fontId="1" type="noConversion"/>
  </si>
  <si>
    <t>水箭龜</t>
    <phoneticPr fontId="1" type="noConversion"/>
  </si>
  <si>
    <t>多刺菊石獸</t>
    <phoneticPr fontId="1" type="noConversion"/>
  </si>
  <si>
    <t>吼吼鯨</t>
    <phoneticPr fontId="1" type="noConversion"/>
  </si>
  <si>
    <t>淚眼蜥</t>
    <phoneticPr fontId="1" type="noConversion"/>
  </si>
  <si>
    <t>卡咪龜</t>
    <phoneticPr fontId="1" type="noConversion"/>
  </si>
  <si>
    <t>傑尼龜</t>
    <phoneticPr fontId="1" type="noConversion"/>
  </si>
  <si>
    <t>變澀蜥</t>
    <phoneticPr fontId="1" type="noConversion"/>
  </si>
  <si>
    <t>草系</t>
    <phoneticPr fontId="1" type="noConversion"/>
  </si>
  <si>
    <t>妙蛙花</t>
    <phoneticPr fontId="1" type="noConversion"/>
  </si>
  <si>
    <t>巴大蝶</t>
    <phoneticPr fontId="1" type="noConversion"/>
  </si>
  <si>
    <t>草</t>
    <phoneticPr fontId="1" type="noConversion"/>
  </si>
  <si>
    <t>水</t>
    <phoneticPr fontId="1" type="noConversion"/>
  </si>
  <si>
    <t>惡</t>
    <phoneticPr fontId="1" type="noConversion"/>
  </si>
  <si>
    <t>岩石</t>
  </si>
  <si>
    <t>岩石</t>
    <phoneticPr fontId="1" type="noConversion"/>
  </si>
  <si>
    <t>屬性</t>
    <phoneticPr fontId="1" type="noConversion"/>
  </si>
  <si>
    <t>小招</t>
    <phoneticPr fontId="1" type="noConversion"/>
  </si>
  <si>
    <t>火</t>
    <phoneticPr fontId="1" type="noConversion"/>
  </si>
  <si>
    <t>飛行</t>
    <phoneticPr fontId="1" type="noConversion"/>
  </si>
  <si>
    <t>龍</t>
  </si>
  <si>
    <t>龍</t>
    <phoneticPr fontId="1" type="noConversion"/>
  </si>
  <si>
    <t>蟲</t>
    <phoneticPr fontId="1" type="noConversion"/>
  </si>
  <si>
    <t>超能力</t>
    <phoneticPr fontId="1" type="noConversion"/>
  </si>
  <si>
    <t>耿鬼</t>
    <phoneticPr fontId="1" type="noConversion"/>
  </si>
  <si>
    <t>壺壺</t>
    <phoneticPr fontId="1" type="noConversion"/>
  </si>
  <si>
    <t>勾魂眼</t>
    <phoneticPr fontId="1" type="noConversion"/>
  </si>
  <si>
    <t>巨金怪</t>
    <phoneticPr fontId="1" type="noConversion"/>
  </si>
  <si>
    <t>灰塵山</t>
    <phoneticPr fontId="1" type="noConversion"/>
  </si>
  <si>
    <t>布莉姆溫</t>
    <phoneticPr fontId="1" type="noConversion"/>
  </si>
  <si>
    <t>鐮刀盔</t>
    <phoneticPr fontId="1" type="noConversion"/>
  </si>
  <si>
    <t>急凍鳥</t>
    <phoneticPr fontId="1" type="noConversion"/>
  </si>
  <si>
    <t>閃電鳥</t>
    <phoneticPr fontId="1" type="noConversion"/>
  </si>
  <si>
    <t>火焰鳥</t>
    <phoneticPr fontId="1" type="noConversion"/>
  </si>
  <si>
    <t>高傲雉雞</t>
    <phoneticPr fontId="1" type="noConversion"/>
  </si>
  <si>
    <t>龍頭地鼠</t>
    <phoneticPr fontId="1" type="noConversion"/>
  </si>
  <si>
    <t>幾何雪花</t>
    <phoneticPr fontId="1" type="noConversion"/>
  </si>
  <si>
    <t>鋼鎧鴉</t>
    <phoneticPr fontId="1" type="noConversion"/>
  </si>
  <si>
    <t>怪力</t>
    <phoneticPr fontId="1" type="noConversion"/>
  </si>
  <si>
    <t>幸福蛋</t>
    <phoneticPr fontId="1" type="noConversion"/>
  </si>
  <si>
    <t>雷公</t>
    <phoneticPr fontId="1" type="noConversion"/>
  </si>
  <si>
    <t>狒狒達摩</t>
    <phoneticPr fontId="1" type="noConversion"/>
  </si>
  <si>
    <t>投擲猴</t>
    <phoneticPr fontId="1" type="noConversion"/>
  </si>
  <si>
    <t>藏飽栗鼠</t>
    <phoneticPr fontId="1" type="noConversion"/>
  </si>
  <si>
    <t>毛毛角羊</t>
    <phoneticPr fontId="1" type="noConversion"/>
  </si>
  <si>
    <t>列陣兵</t>
    <phoneticPr fontId="1" type="noConversion"/>
  </si>
  <si>
    <t>格鬥</t>
    <phoneticPr fontId="1" type="noConversion"/>
  </si>
  <si>
    <t>鋼</t>
    <phoneticPr fontId="1" type="noConversion"/>
  </si>
  <si>
    <t>幽靈</t>
    <phoneticPr fontId="1" type="noConversion"/>
  </si>
  <si>
    <t>地面</t>
  </si>
  <si>
    <t>一般</t>
    <phoneticPr fontId="1" type="noConversion"/>
  </si>
  <si>
    <t>地面</t>
    <phoneticPr fontId="1" type="noConversion"/>
  </si>
  <si>
    <t>冰</t>
    <phoneticPr fontId="1" type="noConversion"/>
  </si>
  <si>
    <t>電</t>
    <phoneticPr fontId="1" type="noConversion"/>
  </si>
  <si>
    <t>攻擊</t>
    <phoneticPr fontId="1" type="noConversion"/>
  </si>
  <si>
    <t>防禦</t>
    <phoneticPr fontId="1" type="noConversion"/>
  </si>
  <si>
    <t>毒</t>
    <phoneticPr fontId="1" type="noConversion"/>
  </si>
  <si>
    <t>拉帝歐斯</t>
  </si>
  <si>
    <t>拉帝亞斯</t>
    <phoneticPr fontId="1" type="noConversion"/>
  </si>
  <si>
    <t>妖精</t>
  </si>
  <si>
    <t>多刺菊石獸</t>
  </si>
  <si>
    <t>卡比獸</t>
    <phoneticPr fontId="1" type="noConversion"/>
  </si>
  <si>
    <t>拉普拉斯</t>
    <phoneticPr fontId="1" type="noConversion"/>
  </si>
  <si>
    <t>蒼響</t>
    <phoneticPr fontId="1" type="noConversion"/>
  </si>
  <si>
    <t>藏瑪然特</t>
  </si>
  <si>
    <t>血量</t>
    <phoneticPr fontId="1" type="noConversion"/>
  </si>
  <si>
    <t>武道熊師(一)</t>
    <phoneticPr fontId="1" type="noConversion"/>
  </si>
  <si>
    <t>轟擂金剛猩</t>
    <phoneticPr fontId="1" type="noConversion"/>
  </si>
  <si>
    <t>戰弦蠑螈</t>
    <phoneticPr fontId="1" type="noConversion"/>
  </si>
  <si>
    <t>坦</t>
    <phoneticPr fontId="1" type="noConversion"/>
  </si>
  <si>
    <t>格鬥</t>
  </si>
  <si>
    <t>武道熊師</t>
    <phoneticPr fontId="1" type="noConversion"/>
  </si>
  <si>
    <t>飛行</t>
  </si>
  <si>
    <t>超能力</t>
  </si>
  <si>
    <t>冰</t>
  </si>
  <si>
    <t>妖精</t>
    <phoneticPr fontId="1" type="noConversion"/>
  </si>
  <si>
    <t>火</t>
  </si>
  <si>
    <t>12點</t>
    <phoneticPr fontId="1" type="noConversion"/>
  </si>
  <si>
    <t>能量點</t>
  </si>
  <si>
    <t>能量點</t>
    <phoneticPr fontId="1" type="noConversion"/>
  </si>
  <si>
    <t>500m</t>
    <phoneticPr fontId="1" type="noConversion"/>
  </si>
  <si>
    <t>第一場</t>
    <phoneticPr fontId="1" type="noConversion"/>
  </si>
  <si>
    <t>第二場</t>
    <phoneticPr fontId="1" type="noConversion"/>
  </si>
  <si>
    <t>第三場</t>
    <phoneticPr fontId="1" type="noConversion"/>
  </si>
  <si>
    <t>第四場</t>
    <phoneticPr fontId="1" type="noConversion"/>
  </si>
  <si>
    <t>第五場</t>
    <phoneticPr fontId="1" type="noConversion"/>
  </si>
  <si>
    <t>任務</t>
    <phoneticPr fontId="1" type="noConversion"/>
  </si>
  <si>
    <t>第六場</t>
    <phoneticPr fontId="1" type="noConversion"/>
  </si>
  <si>
    <t>第七場</t>
    <phoneticPr fontId="1" type="noConversion"/>
  </si>
  <si>
    <t>升級</t>
    <phoneticPr fontId="1" type="noConversion"/>
  </si>
  <si>
    <t>4個能量點</t>
    <phoneticPr fontId="1" type="noConversion"/>
  </si>
  <si>
    <t>2km</t>
    <phoneticPr fontId="1" type="noConversion"/>
  </si>
  <si>
    <t>扣250</t>
    <phoneticPr fontId="1" type="noConversion"/>
  </si>
  <si>
    <t>屬性一</t>
    <phoneticPr fontId="1" type="noConversion"/>
  </si>
  <si>
    <t>屬性二</t>
    <phoneticPr fontId="1" type="noConversion"/>
  </si>
  <si>
    <t>攻方屬性</t>
    <phoneticPr fontId="1" type="noConversion"/>
  </si>
  <si>
    <t>抗性</t>
    <phoneticPr fontId="1" type="noConversion"/>
  </si>
  <si>
    <t>攻/守</t>
    <phoneticPr fontId="1" type="noConversion"/>
  </si>
  <si>
    <t>無</t>
  </si>
  <si>
    <t>無</t>
    <phoneticPr fontId="1" type="noConversion"/>
  </si>
  <si>
    <t>寶可夢</t>
    <phoneticPr fontId="1" type="noConversion"/>
  </si>
  <si>
    <t>基礎防禦</t>
    <phoneticPr fontId="1" type="noConversion"/>
  </si>
  <si>
    <t>抗性防禦</t>
    <phoneticPr fontId="1" type="noConversion"/>
  </si>
  <si>
    <t>原本的300</t>
    <phoneticPr fontId="1" type="noConversion"/>
  </si>
  <si>
    <t>戰弦蠑螈(G)</t>
    <phoneticPr fontId="1" type="noConversion"/>
  </si>
  <si>
    <t>戰弦蠑螈(D)</t>
    <phoneticPr fontId="1" type="noConversion"/>
  </si>
  <si>
    <t>噴火龍(G)</t>
    <phoneticPr fontId="1" type="noConversion"/>
  </si>
  <si>
    <t>閃焰王牌(G)</t>
    <phoneticPr fontId="1" type="noConversion"/>
  </si>
  <si>
    <t>噴火龍(D)</t>
    <phoneticPr fontId="1" type="noConversion"/>
  </si>
  <si>
    <t>閃焰王牌(D)</t>
    <phoneticPr fontId="1" type="noConversion"/>
  </si>
  <si>
    <t>Y</t>
    <phoneticPr fontId="1" type="noConversion"/>
  </si>
  <si>
    <t>N</t>
    <phoneticPr fontId="1" type="noConversion"/>
  </si>
  <si>
    <t>屬修</t>
    <phoneticPr fontId="1" type="noConversion"/>
  </si>
  <si>
    <t>無極汰那</t>
  </si>
  <si>
    <t>等級</t>
    <phoneticPr fontId="1" type="noConversion"/>
  </si>
  <si>
    <t>功</t>
    <phoneticPr fontId="1" type="noConversion"/>
  </si>
  <si>
    <t>防</t>
    <phoneticPr fontId="1" type="noConversion"/>
  </si>
  <si>
    <t>HP</t>
    <phoneticPr fontId="1" type="noConversion"/>
  </si>
  <si>
    <t>CP Calculator - Pokémon GO - GameInfo</t>
    <phoneticPr fontId="1" type="noConversion"/>
  </si>
  <si>
    <t>https://pvpoketw.com/battle/</t>
    <phoneticPr fontId="1" type="noConversion"/>
  </si>
  <si>
    <t>胡地</t>
    <phoneticPr fontId="1" type="noConversion"/>
  </si>
  <si>
    <t>暗影雷吉</t>
    <phoneticPr fontId="1" type="noConversion"/>
  </si>
  <si>
    <t>Mega路卡</t>
    <phoneticPr fontId="1" type="noConversion"/>
  </si>
  <si>
    <t>Mega蓋歐卡</t>
    <phoneticPr fontId="1" type="noConversion"/>
  </si>
  <si>
    <t>Mega蜥蜴王</t>
    <phoneticPr fontId="1" type="noConversion"/>
  </si>
  <si>
    <t>Mega雷電獸</t>
    <phoneticPr fontId="1" type="noConversion"/>
  </si>
  <si>
    <t>Mega烈咬陸鯊</t>
    <phoneticPr fontId="1" type="noConversion"/>
  </si>
  <si>
    <t>Mega艾路雷朵</t>
    <phoneticPr fontId="1" type="noConversion"/>
  </si>
  <si>
    <t>Mega班基拉斯</t>
    <phoneticPr fontId="1" type="noConversion"/>
  </si>
  <si>
    <t>焰白酋雷姆</t>
    <phoneticPr fontId="1" type="noConversion"/>
  </si>
  <si>
    <t>奈克洛茲瑪</t>
    <phoneticPr fontId="1" type="noConversion"/>
  </si>
  <si>
    <t>Mega沙奈朵</t>
    <phoneticPr fontId="1" type="noConversion"/>
  </si>
  <si>
    <t>Nega噴火龍</t>
    <phoneticPr fontId="1" type="noConversion"/>
  </si>
  <si>
    <t>劍之王</t>
    <phoneticPr fontId="1" type="noConversion"/>
  </si>
  <si>
    <t>DPS</t>
    <phoneticPr fontId="1" type="noConversion"/>
  </si>
  <si>
    <t>Mega凱羅斯</t>
    <phoneticPr fontId="1" type="noConversion"/>
  </si>
  <si>
    <t>鋁鋼龍</t>
    <phoneticPr fontId="1" type="noConversion"/>
  </si>
  <si>
    <t>鋼</t>
    <phoneticPr fontId="1" type="noConversion"/>
  </si>
  <si>
    <t>龍</t>
    <phoneticPr fontId="1" type="noConversion"/>
  </si>
  <si>
    <t>一般</t>
    <phoneticPr fontId="1" type="noConversion"/>
  </si>
  <si>
    <t>D</t>
    <phoneticPr fontId="1" type="noConversion"/>
  </si>
  <si>
    <t>惡</t>
  </si>
  <si>
    <t>巨金怪</t>
    <phoneticPr fontId="1" type="noConversion"/>
  </si>
  <si>
    <t>幽靈</t>
    <phoneticPr fontId="1" type="noConversion"/>
  </si>
  <si>
    <t>N</t>
    <phoneticPr fontId="1" type="noConversion"/>
  </si>
  <si>
    <t>D</t>
    <phoneticPr fontId="1" type="noConversion"/>
  </si>
  <si>
    <t>甜冷美后</t>
    <phoneticPr fontId="1" type="noConversion"/>
  </si>
  <si>
    <t>沙奈朵</t>
    <phoneticPr fontId="1" type="noConversion"/>
  </si>
  <si>
    <t>草</t>
  </si>
  <si>
    <t>超級巨伊布</t>
  </si>
  <si>
    <t>超級巨伊布</t>
    <phoneticPr fontId="1" type="noConversion"/>
  </si>
  <si>
    <t>一般</t>
  </si>
  <si>
    <t>水伊布</t>
  </si>
  <si>
    <t>水伊布</t>
    <phoneticPr fontId="1" type="noConversion"/>
  </si>
  <si>
    <t>水</t>
  </si>
  <si>
    <t>雷伊布</t>
  </si>
  <si>
    <t>雷伊布</t>
    <phoneticPr fontId="1" type="noConversion"/>
  </si>
  <si>
    <t>火伊布</t>
  </si>
  <si>
    <t>火伊布</t>
    <phoneticPr fontId="1" type="noConversion"/>
  </si>
  <si>
    <t>電</t>
  </si>
  <si>
    <t>太陽伊布</t>
  </si>
  <si>
    <t>月亮伊布</t>
  </si>
  <si>
    <t>太陽伊布</t>
    <phoneticPr fontId="1" type="noConversion"/>
  </si>
  <si>
    <t>月亮伊布</t>
    <phoneticPr fontId="1" type="noConversion"/>
  </si>
  <si>
    <t>葉伊布</t>
  </si>
  <si>
    <t>葉伊布</t>
    <phoneticPr fontId="1" type="noConversion"/>
  </si>
  <si>
    <t>冰伊布</t>
  </si>
  <si>
    <t>冰伊布</t>
    <phoneticPr fontId="1" type="noConversion"/>
  </si>
  <si>
    <t>仙子伊布</t>
  </si>
  <si>
    <t>仙子伊布</t>
    <phoneticPr fontId="1" type="noConversion"/>
  </si>
  <si>
    <t>艾路雷朵</t>
  </si>
  <si>
    <t>艾路雷朵</t>
    <phoneticPr fontId="1" type="noConversion"/>
  </si>
  <si>
    <t>烏賊王</t>
  </si>
  <si>
    <t>烏賊王</t>
    <phoneticPr fontId="1" type="noConversion"/>
  </si>
  <si>
    <t>心蝙蝠</t>
    <phoneticPr fontId="1" type="noConversion"/>
  </si>
  <si>
    <t>超極巨灰塵山</t>
    <phoneticPr fontId="1" type="noConversion"/>
  </si>
  <si>
    <t>Mega列空坐</t>
    <phoneticPr fontId="1" type="noConversion"/>
  </si>
  <si>
    <t>洛奇亞</t>
  </si>
  <si>
    <t>洛奇亞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</si>
</sst>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&quot;月&quot;d&quot;日&quot;"/>
    <numFmt numFmtId="177" formatCode="0.0"/>
    <numFmt numFmtId="178" formatCode="0.000"/>
  </numFmts>
  <fonts count="2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aipei Sans TC Beta"/>
      <family val="3"/>
      <charset val="136"/>
    </font>
    <font>
      <sz val="12"/>
      <color theme="1"/>
      <name val="新細明體"/>
      <family val="1"/>
      <charset val="136"/>
      <scheme val="major"/>
    </font>
    <font>
      <sz val="12"/>
      <color rgb="FFFF0000"/>
      <name val="新細明體"/>
      <family val="1"/>
      <charset val="136"/>
      <scheme val="major"/>
    </font>
    <font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rgb="FF00B050"/>
      <name val="新細明體"/>
      <family val="1"/>
      <charset val="136"/>
      <scheme val="minor"/>
    </font>
    <font>
      <sz val="12"/>
      <color rgb="FF00B050"/>
      <name val="新細明體"/>
      <family val="1"/>
      <charset val="136"/>
      <scheme val="major"/>
    </font>
    <font>
      <sz val="12"/>
      <color rgb="FFC00000"/>
      <name val="新細明體"/>
      <family val="1"/>
      <charset val="136"/>
      <scheme val="major"/>
    </font>
    <font>
      <sz val="12"/>
      <color theme="7" tint="0.39997558519241921"/>
      <name val="新細明體"/>
      <family val="1"/>
      <charset val="136"/>
      <scheme val="major"/>
    </font>
    <font>
      <sz val="12"/>
      <color rgb="FF0070C0"/>
      <name val="新細明體"/>
      <family val="1"/>
      <charset val="136"/>
      <scheme val="minor"/>
    </font>
    <font>
      <sz val="12"/>
      <color rgb="FF0070C0"/>
      <name val="新細明體"/>
      <family val="1"/>
      <charset val="136"/>
      <scheme val="major"/>
    </font>
    <font>
      <sz val="12"/>
      <color rgb="FF7030A0"/>
      <name val="新細明體"/>
      <family val="1"/>
      <charset val="136"/>
      <scheme val="major"/>
    </font>
    <font>
      <sz val="12"/>
      <color theme="5"/>
      <name val="新細明體"/>
      <family val="1"/>
      <charset val="136"/>
      <scheme val="major"/>
    </font>
    <font>
      <sz val="12"/>
      <color rgb="FFCC9900"/>
      <name val="新細明體"/>
      <family val="1"/>
      <charset val="136"/>
      <scheme val="major"/>
    </font>
    <font>
      <sz val="12"/>
      <color theme="9" tint="0.39997558519241921"/>
      <name val="新細明體"/>
      <family val="1"/>
      <charset val="136"/>
      <scheme val="major"/>
    </font>
    <font>
      <sz val="12"/>
      <color theme="8" tint="-0.499984740745262"/>
      <name val="新細明體"/>
      <family val="1"/>
      <charset val="136"/>
      <scheme val="major"/>
    </font>
    <font>
      <sz val="12"/>
      <color theme="3" tint="9.9978637043366805E-2"/>
      <name val="新細明體"/>
      <family val="1"/>
      <charset val="136"/>
      <scheme val="major"/>
    </font>
    <font>
      <sz val="12"/>
      <color rgb="FFF4EE0C"/>
      <name val="新細明體"/>
      <family val="1"/>
      <charset val="136"/>
      <scheme val="major"/>
    </font>
    <font>
      <sz val="12"/>
      <color rgb="FFFF99FF"/>
      <name val="新細明體"/>
      <family val="1"/>
      <charset val="136"/>
      <scheme val="major"/>
    </font>
    <font>
      <sz val="12"/>
      <color rgb="FFFF6699"/>
      <name val="新細明體"/>
      <family val="1"/>
      <charset val="136"/>
      <scheme val="major"/>
    </font>
    <font>
      <sz val="12"/>
      <color rgb="FF0000FF"/>
      <name val="新細明體"/>
      <family val="1"/>
      <charset val="136"/>
      <scheme val="major"/>
    </font>
    <font>
      <sz val="12"/>
      <color rgb="FF00FFFF"/>
      <name val="新細明體"/>
      <family val="1"/>
      <charset val="136"/>
      <scheme val="major"/>
    </font>
    <font>
      <sz val="12"/>
      <color theme="0"/>
      <name val="新細明體"/>
      <family val="2"/>
      <charset val="136"/>
      <scheme val="minor"/>
    </font>
    <font>
      <b/>
      <sz val="12"/>
      <color theme="1"/>
      <name val="Taipei Sans TC Beta"/>
      <family val="3"/>
      <charset val="136"/>
    </font>
    <font>
      <sz val="12"/>
      <name val="新細明體"/>
      <family val="1"/>
      <charset val="136"/>
      <scheme val="major"/>
    </font>
    <font>
      <u/>
      <sz val="12"/>
      <color theme="10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5621"/>
        <bgColor indexed="64"/>
      </patternFill>
    </fill>
    <fill>
      <patternFill patternType="solid">
        <fgColor theme="1" tint="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</cellStyleXfs>
  <cellXfs count="107">
    <xf numFmtId="0" fontId="0" fillId="0" borderId="0" xfId="0">
      <alignment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76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76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76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76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76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76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76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7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76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76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horizontal="center" vertical="center"/>
    </xf>
    <xf numFmtId="177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177" fontId="0" fillId="0" borderId="5" xfId="0" applyNumberFormat="1" applyBorder="1" applyAlignment="1">
      <alignment horizontal="center" vertical="center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7" fontId="0" fillId="0" borderId="8" xfId="0" applyNumberFormat="1" applyBorder="1" applyAlignment="1">
      <alignment horizontal="center" vertical="center"/>
    </xf>
    <xf numFmtId="0" fontId="0" fillId="0" borderId="9" xfId="0" applyBorder="1">
      <alignment vertical="center"/>
    </xf>
    <xf numFmtId="176" fontId="0" fillId="0" borderId="0" xfId="0" applyNumberFormat="1">
      <alignment vertical="center"/>
    </xf>
    <xf numFmtId="0" fontId="0" fillId="3" borderId="8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24" fillId="4" borderId="8" xfId="0" applyFont="1" applyFill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4" fillId="4" borderId="10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8" xfId="0" applyBorder="1">
      <alignment vertical="center"/>
    </xf>
    <xf numFmtId="1" fontId="0" fillId="0" borderId="0" xfId="0" applyNumberFormat="1" applyAlignment="1">
      <alignment horizontal="center" vertical="center"/>
    </xf>
    <xf numFmtId="176" fontId="2" fillId="0" borderId="0" xfId="0" applyNumberFormat="1" applyFont="1">
      <alignment vertical="center"/>
    </xf>
    <xf numFmtId="0" fontId="25" fillId="0" borderId="0" xfId="0" applyFont="1" applyAlignment="1">
      <alignment horizontal="center" vertical="center"/>
    </xf>
    <xf numFmtId="177" fontId="0" fillId="0" borderId="11" xfId="0" applyNumberFormat="1" applyBorder="1" applyAlignment="1">
      <alignment horizontal="center" vertical="center"/>
    </xf>
    <xf numFmtId="1" fontId="0" fillId="0" borderId="0" xfId="0" applyNumberFormat="1">
      <alignment vertical="center"/>
    </xf>
    <xf numFmtId="177" fontId="0" fillId="0" borderId="0" xfId="0" applyNumberFormat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0" fontId="0" fillId="0" borderId="15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177" fontId="0" fillId="0" borderId="3" xfId="0" applyNumberFormat="1" applyBorder="1" applyAlignment="1">
      <alignment horizontal="center" vertical="center"/>
    </xf>
    <xf numFmtId="0" fontId="0" fillId="0" borderId="6" xfId="0" applyBorder="1" applyAlignment="1">
      <alignment horizontal="right" vertical="center"/>
    </xf>
    <xf numFmtId="0" fontId="27" fillId="0" borderId="0" xfId="1">
      <alignment vertical="center"/>
    </xf>
    <xf numFmtId="177" fontId="0" fillId="0" borderId="0" xfId="0" applyNumberFormat="1">
      <alignment vertical="center"/>
    </xf>
    <xf numFmtId="1" fontId="0" fillId="0" borderId="5" xfId="0" applyNumberFormat="1" applyBorder="1" applyAlignment="1">
      <alignment horizontal="center" vertical="center"/>
    </xf>
    <xf numFmtId="1" fontId="0" fillId="0" borderId="8" xfId="0" applyNumberFormat="1" applyBorder="1">
      <alignment vertical="center"/>
    </xf>
    <xf numFmtId="0" fontId="0" fillId="0" borderId="1" xfId="0" applyBorder="1" applyAlignment="1">
      <alignment horizontal="right" vertical="center"/>
    </xf>
    <xf numFmtId="0" fontId="26" fillId="0" borderId="0" xfId="0" applyFont="1" applyAlignment="1">
      <alignment horizontal="center" vertical="center"/>
    </xf>
    <xf numFmtId="9" fontId="0" fillId="0" borderId="8" xfId="2" applyFont="1" applyBorder="1" applyAlignment="1">
      <alignment horizontal="center" vertical="center"/>
    </xf>
    <xf numFmtId="9" fontId="0" fillId="0" borderId="5" xfId="2" applyFont="1" applyBorder="1" applyAlignment="1">
      <alignment horizontal="center" vertical="center"/>
    </xf>
    <xf numFmtId="0" fontId="0" fillId="0" borderId="10" xfId="0" applyBorder="1">
      <alignment vertical="center"/>
    </xf>
    <xf numFmtId="2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177" fontId="0" fillId="0" borderId="12" xfId="0" applyNumberFormat="1" applyBorder="1" applyAlignment="1">
      <alignment horizontal="center" vertical="center"/>
    </xf>
    <xf numFmtId="177" fontId="0" fillId="0" borderId="7" xfId="0" applyNumberFormat="1" applyBorder="1" applyAlignment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3">
    <cellStyle name="一般" xfId="0" builtinId="0"/>
    <cellStyle name="百分比" xfId="2" builtinId="5"/>
    <cellStyle name="超連結" xfId="1" builtinId="8"/>
  </cellStyles>
  <dxfs count="0"/>
  <tableStyles count="0" defaultTableStyle="TableStyleMedium2" defaultPivotStyle="PivotStyleLight16"/>
  <colors>
    <mruColors>
      <color rgb="FFFF5621"/>
      <color rgb="FFCC3300"/>
      <color rgb="FF00FFFF"/>
      <color rgb="FF0000FF"/>
      <color rgb="FFFF99FF"/>
      <color rgb="FFFF6699"/>
      <color rgb="FFF4EE0C"/>
      <color rgb="FFFFFF00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pvpoketw.com/battle/" TargetMode="External"/><Relationship Id="rId1" Type="http://schemas.openxmlformats.org/officeDocument/2006/relationships/hyperlink" Target="https://pokemon.gameinfo.io/zh-tw/tools/cp-calculator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71F4A-234C-4315-9CF6-A669DCF8C957}">
  <dimension ref="A1:AR116"/>
  <sheetViews>
    <sheetView tabSelected="1" topLeftCell="S1" zoomScale="70" zoomScaleNormal="70" workbookViewId="0">
      <pane ySplit="2" topLeftCell="A3" activePane="bottomLeft" state="frozen"/>
      <selection pane="bottomLeft" activeCell="J3" sqref="J3"/>
    </sheetView>
  </sheetViews>
  <sheetFormatPr defaultRowHeight="16.2"/>
  <cols>
    <col min="1" max="1" width="14.109375" style="82" bestFit="1" customWidth="1"/>
    <col min="2" max="2" width="19.21875" style="3" customWidth="1"/>
    <col min="3" max="3" width="14.109375" style="82" bestFit="1" customWidth="1"/>
    <col min="4" max="4" width="19.21875" style="3" bestFit="1" customWidth="1"/>
    <col min="5" max="5" width="14.109375" style="82" bestFit="1" customWidth="1"/>
    <col min="6" max="6" width="19.21875" style="3" bestFit="1" customWidth="1"/>
    <col min="7" max="7" width="14.109375" style="82" bestFit="1" customWidth="1"/>
    <col min="8" max="8" width="19.21875" style="3" bestFit="1" customWidth="1"/>
    <col min="9" max="9" width="19.21875" customWidth="1"/>
    <col min="10" max="13" width="15.21875" customWidth="1"/>
    <col min="14" max="24" width="15.21875" style="3" customWidth="1"/>
    <col min="25" max="28" width="15.21875" customWidth="1"/>
    <col min="30" max="30" width="15.44140625" bestFit="1" customWidth="1"/>
    <col min="36" max="36" width="10.21875" bestFit="1" customWidth="1"/>
    <col min="37" max="37" width="14.109375" style="70" bestFit="1" customWidth="1"/>
  </cols>
  <sheetData>
    <row r="1" spans="1:44">
      <c r="A1" s="102" t="s">
        <v>94</v>
      </c>
      <c r="B1" s="102"/>
      <c r="C1" s="102" t="s">
        <v>73</v>
      </c>
      <c r="D1" s="102"/>
      <c r="E1" s="102" t="s">
        <v>178</v>
      </c>
      <c r="F1" s="102"/>
      <c r="G1" s="102" t="s">
        <v>83</v>
      </c>
      <c r="H1" s="102"/>
      <c r="I1" s="3"/>
      <c r="J1" s="70"/>
      <c r="K1" s="93" t="s">
        <v>40</v>
      </c>
      <c r="L1" s="48" t="s">
        <v>94</v>
      </c>
      <c r="M1" s="48" t="s">
        <v>172</v>
      </c>
      <c r="AL1" s="3"/>
      <c r="AN1" s="3"/>
      <c r="AP1" s="3"/>
      <c r="AR1" s="3"/>
    </row>
    <row r="2" spans="1:44">
      <c r="A2" s="80" t="s">
        <v>124</v>
      </c>
      <c r="B2" s="77" t="s">
        <v>126</v>
      </c>
      <c r="C2" s="80" t="s">
        <v>124</v>
      </c>
      <c r="D2" s="77" t="s">
        <v>126</v>
      </c>
      <c r="E2" s="80" t="s">
        <v>124</v>
      </c>
      <c r="F2" s="77" t="s">
        <v>126</v>
      </c>
      <c r="G2" s="80" t="s">
        <v>124</v>
      </c>
      <c r="H2" s="77" t="s">
        <v>126</v>
      </c>
      <c r="I2" s="3"/>
      <c r="J2" s="48" t="s">
        <v>124</v>
      </c>
      <c r="K2" s="70" t="s">
        <v>40</v>
      </c>
      <c r="L2" s="45" t="s">
        <v>136</v>
      </c>
      <c r="M2" s="45" t="s">
        <v>2</v>
      </c>
      <c r="N2" s="78" t="s">
        <v>9</v>
      </c>
      <c r="O2" s="53" t="s">
        <v>10</v>
      </c>
      <c r="P2" s="40"/>
      <c r="Y2" s="70" t="s">
        <v>124</v>
      </c>
      <c r="Z2" s="48" t="s">
        <v>117</v>
      </c>
      <c r="AA2" s="48" t="s">
        <v>118</v>
      </c>
      <c r="AB2" s="48" t="s">
        <v>125</v>
      </c>
      <c r="AD2" s="3" t="s">
        <v>124</v>
      </c>
      <c r="AE2" t="s">
        <v>40</v>
      </c>
      <c r="AF2" s="3" t="s">
        <v>136</v>
      </c>
      <c r="AG2" s="3" t="s">
        <v>2</v>
      </c>
      <c r="AH2" s="90" t="s">
        <v>9</v>
      </c>
      <c r="AI2" s="3" t="s">
        <v>10</v>
      </c>
      <c r="AK2" s="70" t="s">
        <v>124</v>
      </c>
      <c r="AL2" s="54" t="s">
        <v>126</v>
      </c>
      <c r="AM2" s="70" t="s">
        <v>124</v>
      </c>
      <c r="AN2" s="48" t="s">
        <v>126</v>
      </c>
      <c r="AO2" s="70" t="s">
        <v>124</v>
      </c>
      <c r="AP2" s="48" t="s">
        <v>126</v>
      </c>
      <c r="AQ2" s="70" t="s">
        <v>124</v>
      </c>
      <c r="AR2" s="48" t="s">
        <v>126</v>
      </c>
    </row>
    <row r="3" spans="1:44">
      <c r="A3" s="81" t="str" cm="1">
        <f t="array" ref="A3:B65">_xlfn.SORTBY(AK3:AL65, AL3:AL65, -1)</f>
        <v>洛奇亞</v>
      </c>
      <c r="B3" s="83">
        <v>129.61024</v>
      </c>
      <c r="C3" s="81" t="str" cm="1">
        <f t="array" ref="C3:D65">_xlfn.SORTBY(AM3:AN65, AN3:AN65, -1)</f>
        <v>洛奇亞</v>
      </c>
      <c r="D3" s="83">
        <v>129.48593350383629</v>
      </c>
      <c r="E3" s="81" t="str" cm="1">
        <f t="array" ref="E3:F65">_xlfn.SORTBY(AO3:AP65, AP3:AP65, -1)</f>
        <v>幸福蛋</v>
      </c>
      <c r="F3" s="83">
        <v>61.686</v>
      </c>
      <c r="G3" s="81" t="str" cm="1">
        <f t="array" ref="G3:H65">_xlfn.SORTBY(AQ3:AR65, AR3:AR65, -1)</f>
        <v>藏瑪然特</v>
      </c>
      <c r="H3" s="83">
        <v>68.912000000000006</v>
      </c>
      <c r="I3" s="76"/>
      <c r="J3" s="48" t="str" cm="1">
        <f t="array" ref="J3:O116">_xlfn.SORTBY(AD3:AI116, AI3:AI116, -1)</f>
        <v>閃電鳥</v>
      </c>
      <c r="K3" s="48" t="str">
        <v>飛行</v>
      </c>
      <c r="L3" s="48" t="str">
        <v>Y</v>
      </c>
      <c r="M3" s="48">
        <v>203</v>
      </c>
      <c r="N3" s="48" t="str">
        <v>D</v>
      </c>
      <c r="O3" s="79">
        <v>218265.60000000003</v>
      </c>
      <c r="P3" s="92">
        <f>O3/$O$3</f>
        <v>1</v>
      </c>
      <c r="Q3" s="71"/>
      <c r="R3" s="71"/>
      <c r="S3" s="71"/>
      <c r="T3" s="71"/>
      <c r="U3" s="71"/>
      <c r="V3" s="71"/>
      <c r="W3" s="71"/>
      <c r="X3" s="71"/>
      <c r="Y3" s="48" t="s">
        <v>63</v>
      </c>
      <c r="Z3" s="48" t="s">
        <v>74</v>
      </c>
      <c r="AA3" s="48" t="s">
        <v>123</v>
      </c>
      <c r="AB3" s="51">
        <f t="shared" ref="AB3:AB19" si="0">AC4</f>
        <v>61.686</v>
      </c>
      <c r="AD3" s="3" t="s">
        <v>91</v>
      </c>
      <c r="AE3" s="3" t="s">
        <v>35</v>
      </c>
      <c r="AF3" s="3" t="s">
        <v>134</v>
      </c>
      <c r="AG3" s="3">
        <f>AJ3</f>
        <v>200</v>
      </c>
      <c r="AH3" s="3" t="s">
        <v>5</v>
      </c>
      <c r="AI3" s="71">
        <f>AG3*IF(AH3="G", 450, IF(AH3="D", 350, 0)) * IF(AF3="Y", 1.2, 1)*(INDEX(屬性克制表!$B$2:$T$20, MATCH(AE3, 屬性克制表!$A$2:$A$20, 0), MATCH($L$1, 屬性克制表!$B$1:$T$1, 0)) * INDEX(屬性克制表!$B$2:$T$20, MATCH(AE3, 屬性克制表!$A$2:$A$20, 0), MATCH($M$1, 屬性克制表!$B$1:$T$1, 0)))</f>
        <v>67500</v>
      </c>
      <c r="AJ3">
        <f>_xlfn.XLOOKUP(AD3, 數據!B$2:B$50, 數據!M$2:M$50)</f>
        <v>200</v>
      </c>
      <c r="AK3" s="48" t="s">
        <v>63</v>
      </c>
      <c r="AL3" s="74">
        <f>AB3/(INDEX(屬性克制表!$B$2:$T$20, MATCH($A$1, 屬性克制表!$A$2:$A$20, 0), MATCH(Z3, 屬性克制表!$B$1:$T$1, 0)) * INDEX(屬性克制表!$B$2:$T$20, MATCH($A$1, 屬性克制表!$A$2:$A$20, 0), MATCH(AA3, 屬性克制表!$B$1:$T$1, 0)))</f>
        <v>38.553750000000001</v>
      </c>
      <c r="AM3" s="48" t="s">
        <v>63</v>
      </c>
      <c r="AN3" s="56">
        <f>AB3/(INDEX(屬性克制表!$B$2:$T$20, MATCH($C$1, 屬性克制表!$A$2:$A$20, 0), MATCH(Z3, 屬性克制表!$B$1:$T$1, 0)) * INDEX(屬性克制表!$B$2:$T$20, MATCH($C$1, 屬性克制表!$A$2:$A$20, 0), MATCH(AA3, 屬性克制表!$B$1:$T$1, 0)))</f>
        <v>61.686</v>
      </c>
      <c r="AO3" s="48" t="s">
        <v>63</v>
      </c>
      <c r="AP3" s="56">
        <f>AB3/(INDEX(屬性克制表!$B$2:$T$20, MATCH($E$1, 屬性克制表!$A$2:$A$20, 0), MATCH(Z3, 屬性克制表!$B$1:$T$1, 0)) * INDEX(屬性克制表!$B$2:$T$20, MATCH($E$1, 屬性克制表!$A$2:$A$20, 0), MATCH(AA3, 屬性克制表!$B$1:$T$1, 0)))</f>
        <v>61.686</v>
      </c>
      <c r="AQ3" s="48" t="s">
        <v>63</v>
      </c>
      <c r="AR3" s="56">
        <f>AB3/(INDEX(屬性克制表!$B$2:$T$20, MATCH($G$1, 屬性克制表!$A$2:$A$20, 0), MATCH(Z3, 屬性克制表!$B$1:$T$1, 0)) * INDEX(屬性克制表!$B$2:$T$20, MATCH($G$1, 屬性克制表!$A$2:$A$20, 0), MATCH(AA3, 屬性克制表!$B$1:$T$1, 0)))</f>
        <v>61.686</v>
      </c>
    </row>
    <row r="4" spans="1:44">
      <c r="A4" s="81" t="str">
        <v>耿鬼</v>
      </c>
      <c r="B4" s="83">
        <v>74.573913043478257</v>
      </c>
      <c r="C4" s="81" t="str">
        <v>急凍鳥</v>
      </c>
      <c r="D4" s="83">
        <v>78.015345268542205</v>
      </c>
      <c r="E4" s="81" t="str">
        <v>無極汰那</v>
      </c>
      <c r="F4" s="83">
        <v>57.283200000000001</v>
      </c>
      <c r="G4" s="81" t="str">
        <v>幸福蛋</v>
      </c>
      <c r="H4" s="83">
        <v>61.686</v>
      </c>
      <c r="I4" s="76"/>
      <c r="J4" s="48" t="str">
        <v>火焰鳥</v>
      </c>
      <c r="K4" s="48" t="str">
        <v>飛行</v>
      </c>
      <c r="L4" s="48" t="str">
        <v>Y</v>
      </c>
      <c r="M4" s="48">
        <v>200</v>
      </c>
      <c r="N4" s="48" t="str">
        <v>D</v>
      </c>
      <c r="O4" s="79">
        <v>215040.00000000003</v>
      </c>
      <c r="P4" s="91">
        <f>O4/$O$3</f>
        <v>0.98522167487684731</v>
      </c>
      <c r="Q4" s="71"/>
      <c r="R4" s="71"/>
      <c r="S4" s="71"/>
      <c r="T4" s="71"/>
      <c r="U4" s="71"/>
      <c r="V4" s="71"/>
      <c r="W4" s="71"/>
      <c r="Y4" s="48" t="s">
        <v>88</v>
      </c>
      <c r="Z4" s="48" t="s">
        <v>71</v>
      </c>
      <c r="AA4" s="48" t="s">
        <v>70</v>
      </c>
      <c r="AB4" s="51">
        <f t="shared" si="0"/>
        <v>43.07</v>
      </c>
      <c r="AC4" s="86">
        <f>數據!P2</f>
        <v>61.686</v>
      </c>
      <c r="AD4" s="3" t="s">
        <v>62</v>
      </c>
      <c r="AE4" s="3" t="s">
        <v>70</v>
      </c>
      <c r="AF4" s="3" t="s">
        <v>134</v>
      </c>
      <c r="AG4" s="3">
        <f t="shared" ref="AG4:AG67" si="1">AJ4</f>
        <v>201</v>
      </c>
      <c r="AH4" s="3" t="s">
        <v>5</v>
      </c>
      <c r="AI4" s="71">
        <f>AG4*IF(AH4="G", 450, IF(AH4="D", 350, 0)) * IF(AF4="Y", 1.2, 1)*(INDEX(屬性克制表!$B$2:$T$20, MATCH(AE4, 屬性克制表!$A$2:$A$20, 0), MATCH($L$1, 屬性克制表!$B$1:$T$1, 0)) * INDEX(屬性克制表!$B$2:$T$20, MATCH(AE4, 屬性克制表!$A$2:$A$20, 0), MATCH($M$1, 屬性克制表!$B$1:$T$1, 0)))</f>
        <v>108540</v>
      </c>
      <c r="AJ4">
        <f>_xlfn.XLOOKUP(AD4, 數據!B$2:B$50, 數據!M$2:M$50)</f>
        <v>201</v>
      </c>
      <c r="AK4" s="48" t="s">
        <v>88</v>
      </c>
      <c r="AL4" s="74">
        <f>AB4/(INDEX(屬性克制表!$B$2:$T$20, MATCH($A$1, 屬性克制表!$A$2:$A$20, 0), MATCH(Z4, 屬性克制表!$B$1:$T$1, 0)) * INDEX(屬性克制表!$B$2:$T$20, MATCH($A$1, 屬性克制表!$A$2:$A$20, 0), MATCH(AA4, 屬性克制表!$B$1:$T$1, 0)))</f>
        <v>26.918749999999999</v>
      </c>
      <c r="AM4" s="48" t="s">
        <v>88</v>
      </c>
      <c r="AN4" s="56">
        <f>AB4/(INDEX(屬性克制表!$B$2:$T$20, MATCH($C$1, 屬性克制表!$A$2:$A$20, 0), MATCH(Z4, 屬性克制表!$B$1:$T$1, 0)) * INDEX(屬性克制表!$B$2:$T$20, MATCH($C$1, 屬性克制表!$A$2:$A$20, 0), MATCH(AA4, 屬性克制表!$B$1:$T$1, 0)))</f>
        <v>26.918749999999999</v>
      </c>
      <c r="AO4" s="48" t="s">
        <v>88</v>
      </c>
      <c r="AP4" s="56">
        <f>AB4/(INDEX(屬性克制表!$B$2:$T$20, MATCH($E$1, 屬性克制表!$A$2:$A$20, 0), MATCH(Z4, 屬性克制表!$B$1:$T$1, 0)) * INDEX(屬性克制表!$B$2:$T$20, MATCH($E$1, 屬性克制表!$A$2:$A$20, 0), MATCH(AA4, 屬性克制表!$B$1:$T$1, 0)))</f>
        <v>43.07</v>
      </c>
      <c r="AQ4" s="48" t="s">
        <v>88</v>
      </c>
      <c r="AR4" s="56">
        <f>AB4/(INDEX(屬性克制表!$B$2:$T$20, MATCH($G$1, 屬性克制表!$A$2:$A$20, 0), MATCH(Z4, 屬性克制表!$B$1:$T$1, 0)) * INDEX(屬性克制表!$B$2:$T$20, MATCH($G$1, 屬性克制表!$A$2:$A$20, 0), MATCH(AA4, 屬性克制表!$B$1:$T$1, 0)))</f>
        <v>68.912000000000006</v>
      </c>
    </row>
    <row r="5" spans="1:44">
      <c r="A5" s="81" t="str">
        <v>沙奈朵</v>
      </c>
      <c r="B5" s="83">
        <v>61.619199999999999</v>
      </c>
      <c r="C5" s="81" t="str">
        <v>巴大蝶</v>
      </c>
      <c r="D5" s="83">
        <v>64.765217391304347</v>
      </c>
      <c r="E5" s="81" t="str">
        <v>水君</v>
      </c>
      <c r="F5" s="83">
        <v>55.327999999999996</v>
      </c>
      <c r="G5" s="81" t="str">
        <v>蒼響</v>
      </c>
      <c r="H5" s="83">
        <v>58.958399999999997</v>
      </c>
      <c r="I5" s="76"/>
      <c r="J5" s="48" t="str">
        <v>高傲雉雞</v>
      </c>
      <c r="K5" s="48" t="str">
        <v>飛行</v>
      </c>
      <c r="L5" s="48" t="str">
        <v>Y</v>
      </c>
      <c r="M5" s="48">
        <v>188</v>
      </c>
      <c r="N5" s="48" t="str">
        <v>D</v>
      </c>
      <c r="O5" s="79">
        <v>202137.60000000003</v>
      </c>
      <c r="P5" s="91">
        <f t="shared" ref="P5:P68" si="2">O5/$O$3</f>
        <v>0.92610837438423643</v>
      </c>
      <c r="Q5" s="71"/>
      <c r="R5" s="71"/>
      <c r="S5" s="71"/>
      <c r="T5" s="71"/>
      <c r="U5" s="71"/>
      <c r="V5" s="71"/>
      <c r="W5" s="71"/>
      <c r="Y5" s="48" t="s">
        <v>85</v>
      </c>
      <c r="Z5" s="48" t="s">
        <v>74</v>
      </c>
      <c r="AA5" s="48" t="s">
        <v>122</v>
      </c>
      <c r="AB5" s="51">
        <f t="shared" si="0"/>
        <v>33.768000000000001</v>
      </c>
      <c r="AC5" s="86">
        <f>數據!P3</f>
        <v>43.07</v>
      </c>
      <c r="AD5" s="3" t="s">
        <v>92</v>
      </c>
      <c r="AE5" s="4" t="s">
        <v>77</v>
      </c>
      <c r="AF5" s="4" t="s">
        <v>134</v>
      </c>
      <c r="AG5" s="3">
        <f t="shared" si="1"/>
        <v>188</v>
      </c>
      <c r="AH5" s="3" t="s">
        <v>5</v>
      </c>
      <c r="AI5" s="71">
        <f>AG5*IF(AH5="G", 450, IF(AH5="D", 350, 0)) * IF(AF5="Y", 1.2, 1)*(INDEX(屬性克制表!$B$2:$T$20, MATCH(AE5, 屬性克制表!$A$2:$A$20, 0), MATCH($L$1, 屬性克制表!$B$1:$T$1, 0)) * INDEX(屬性克制表!$B$2:$T$20, MATCH(AE5, 屬性克制表!$A$2:$A$20, 0), MATCH($M$1, 屬性克制表!$B$1:$T$1, 0)))</f>
        <v>63450</v>
      </c>
      <c r="AJ5">
        <f>_xlfn.XLOOKUP(AD5, 數據!B$2:B$50, 數據!M$2:M$50)</f>
        <v>188</v>
      </c>
      <c r="AK5" s="48" t="s">
        <v>85</v>
      </c>
      <c r="AL5" s="74">
        <f>AB5/(INDEX(屬性克制表!$B$2:$T$20, MATCH($A$1, 屬性克制表!$A$2:$A$20, 0), MATCH(Z5, 屬性克制表!$B$1:$T$1, 0)) * INDEX(屬性克制表!$B$2:$T$20, MATCH($A$1, 屬性克制表!$A$2:$A$20, 0), MATCH(AA5, 屬性克制表!$B$1:$T$1, 0)))</f>
        <v>21.105</v>
      </c>
      <c r="AM5" s="48" t="s">
        <v>85</v>
      </c>
      <c r="AN5" s="56">
        <f>AB5/(INDEX(屬性克制表!$B$2:$T$20, MATCH($C$1, 屬性克制表!$A$2:$A$20, 0), MATCH(Z5, 屬性克制表!$B$1:$T$1, 0)) * INDEX(屬性克制表!$B$2:$T$20, MATCH($C$1, 屬性克制表!$A$2:$A$20, 0), MATCH(AA5, 屬性克制表!$B$1:$T$1, 0)))</f>
        <v>33.768000000000001</v>
      </c>
      <c r="AO5" s="48" t="s">
        <v>85</v>
      </c>
      <c r="AP5" s="56">
        <f>AB5/(INDEX(屬性克制表!$B$2:$T$20, MATCH($E$1, 屬性克制表!$A$2:$A$20, 0), MATCH(Z5, 屬性克制表!$B$1:$T$1, 0)) * INDEX(屬性克制表!$B$2:$T$20, MATCH($E$1, 屬性克制表!$A$2:$A$20, 0), MATCH(AA5, 屬性克制表!$B$1:$T$1, 0)))</f>
        <v>33.768000000000001</v>
      </c>
      <c r="AQ5" s="48" t="s">
        <v>85</v>
      </c>
      <c r="AR5" s="56">
        <f>AB5/(INDEX(屬性克制表!$B$2:$T$20, MATCH($G$1, 屬性克制表!$A$2:$A$20, 0), MATCH(Z5, 屬性克制表!$B$1:$T$1, 0)) * INDEX(屬性克制表!$B$2:$T$20, MATCH($G$1, 屬性克制表!$A$2:$A$20, 0), MATCH(AA5, 屬性克制表!$B$1:$T$1, 0)))</f>
        <v>33.768000000000001</v>
      </c>
    </row>
    <row r="6" spans="1:44">
      <c r="A6" s="81" t="str">
        <v>無極汰那</v>
      </c>
      <c r="B6" s="83">
        <v>57.283200000000001</v>
      </c>
      <c r="C6" s="81" t="str">
        <v>幸福蛋</v>
      </c>
      <c r="D6" s="83">
        <v>61.686</v>
      </c>
      <c r="E6" s="81" t="str">
        <v>鐮刀盔</v>
      </c>
      <c r="F6" s="83">
        <v>54.200320000000005</v>
      </c>
      <c r="G6" s="81" t="str">
        <v>洛奇亞</v>
      </c>
      <c r="H6" s="83">
        <v>50.628999999999998</v>
      </c>
      <c r="I6" s="76"/>
      <c r="J6" s="48" t="str">
        <v>噴火龍</v>
      </c>
      <c r="K6" s="48" t="str">
        <v>飛行</v>
      </c>
      <c r="L6" s="48" t="str">
        <v>Y</v>
      </c>
      <c r="M6" s="48">
        <v>187</v>
      </c>
      <c r="N6" s="48" t="str">
        <v>D</v>
      </c>
      <c r="O6" s="79">
        <v>201062.40000000005</v>
      </c>
      <c r="P6" s="91">
        <f t="shared" si="2"/>
        <v>0.92118226600985231</v>
      </c>
      <c r="Q6" s="71"/>
      <c r="R6" s="71"/>
      <c r="S6" s="71"/>
      <c r="T6" s="71"/>
      <c r="U6" s="71"/>
      <c r="V6" s="71"/>
      <c r="W6" s="71"/>
      <c r="Y6" s="48" t="s">
        <v>23</v>
      </c>
      <c r="Z6" s="48" t="s">
        <v>36</v>
      </c>
      <c r="AA6" s="48" t="s">
        <v>122</v>
      </c>
      <c r="AB6" s="51">
        <f t="shared" si="0"/>
        <v>34.58</v>
      </c>
      <c r="AC6" s="86">
        <f>數據!P4</f>
        <v>33.768000000000001</v>
      </c>
      <c r="AD6" s="3" t="s">
        <v>33</v>
      </c>
      <c r="AE6" s="3" t="s">
        <v>35</v>
      </c>
      <c r="AF6" s="3" t="s">
        <v>134</v>
      </c>
      <c r="AG6" s="3">
        <f t="shared" si="1"/>
        <v>159</v>
      </c>
      <c r="AH6" s="3" t="s">
        <v>5</v>
      </c>
      <c r="AI6" s="71">
        <f>AG6*IF(AH6="G", 450, IF(AH6="D", 350, 0)) * IF(AF6="Y", 1.2, 1)*(INDEX(屬性克制表!$B$2:$T$20, MATCH(AE6, 屬性克制表!$A$2:$A$20, 0), MATCH($L$1, 屬性克制表!$B$1:$T$1, 0)) * INDEX(屬性克制表!$B$2:$T$20, MATCH(AE6, 屬性克制表!$A$2:$A$20, 0), MATCH($M$1, 屬性克制表!$B$1:$T$1, 0)))</f>
        <v>53662.5</v>
      </c>
      <c r="AJ6">
        <f>_xlfn.XLOOKUP(AD6, 數據!B$2:B$50, 數據!M$2:M$50)</f>
        <v>159</v>
      </c>
      <c r="AK6" s="48" t="s">
        <v>23</v>
      </c>
      <c r="AL6" s="74">
        <f>AB6/(INDEX(屬性克制表!$B$2:$T$20, MATCH($A$1, 屬性克制表!$A$2:$A$20, 0), MATCH(Z6, 屬性克制表!$B$1:$T$1, 0)) * INDEX(屬性克制表!$B$2:$T$20, MATCH($A$1, 屬性克制表!$A$2:$A$20, 0), MATCH(AA6, 屬性克制表!$B$1:$T$1, 0)))</f>
        <v>34.58</v>
      </c>
      <c r="AM6" s="48" t="s">
        <v>23</v>
      </c>
      <c r="AN6" s="56">
        <f>AB6/(INDEX(屬性克制表!$B$2:$T$20, MATCH($C$1, 屬性克制表!$A$2:$A$20, 0), MATCH(Z6, 屬性克制表!$B$1:$T$1, 0)) * INDEX(屬性克制表!$B$2:$T$20, MATCH($C$1, 屬性克制表!$A$2:$A$20, 0), MATCH(AA6, 屬性克制表!$B$1:$T$1, 0)))</f>
        <v>34.58</v>
      </c>
      <c r="AO6" s="48" t="s">
        <v>23</v>
      </c>
      <c r="AP6" s="56">
        <f>AB6/(INDEX(屬性克制表!$B$2:$T$20, MATCH($E$1, 屬性克制表!$A$2:$A$20, 0), MATCH(Z6, 屬性克制表!$B$1:$T$1, 0)) * INDEX(屬性克制表!$B$2:$T$20, MATCH($E$1, 屬性克制表!$A$2:$A$20, 0), MATCH(AA6, 屬性克制表!$B$1:$T$1, 0)))</f>
        <v>55.327999999999996</v>
      </c>
      <c r="AQ6" s="48" t="s">
        <v>23</v>
      </c>
      <c r="AR6" s="56">
        <f>AB6/(INDEX(屬性克制表!$B$2:$T$20, MATCH($G$1, 屬性克制表!$A$2:$A$20, 0), MATCH(Z6, 屬性克制表!$B$1:$T$1, 0)) * INDEX(屬性克制表!$B$2:$T$20, MATCH($G$1, 屬性克制表!$A$2:$A$20, 0), MATCH(AA6, 屬性克制表!$B$1:$T$1, 0)))</f>
        <v>34.58</v>
      </c>
    </row>
    <row r="7" spans="1:44">
      <c r="A7" s="81" t="str">
        <v>布莉姆溫</v>
      </c>
      <c r="B7" s="83">
        <v>50.790399999999998</v>
      </c>
      <c r="C7" s="81" t="str">
        <v>高傲雉雞</v>
      </c>
      <c r="D7" s="83">
        <v>51.969309462915596</v>
      </c>
      <c r="E7" s="81" t="str">
        <v>拉普拉斯</v>
      </c>
      <c r="F7" s="83">
        <v>54.096000000000004</v>
      </c>
      <c r="G7" s="81" t="str">
        <v>鋼鎧鴉</v>
      </c>
      <c r="H7" s="83">
        <v>50.160000000000004</v>
      </c>
      <c r="I7" s="76"/>
      <c r="J7" s="48" t="str">
        <v>閃焰王牌</v>
      </c>
      <c r="K7" s="48" t="str">
        <v>火</v>
      </c>
      <c r="L7" s="48" t="str">
        <v>Y</v>
      </c>
      <c r="M7" s="48">
        <v>205</v>
      </c>
      <c r="N7" s="48" t="str">
        <v>G</v>
      </c>
      <c r="O7" s="79">
        <v>177120</v>
      </c>
      <c r="P7" s="91">
        <f t="shared" si="2"/>
        <v>0.81148838845883164</v>
      </c>
      <c r="Q7" s="71"/>
      <c r="R7" s="71"/>
      <c r="S7" s="71"/>
      <c r="T7" s="71"/>
      <c r="U7" s="71"/>
      <c r="V7" s="71"/>
      <c r="W7" s="71"/>
      <c r="Y7" s="48" t="s">
        <v>137</v>
      </c>
      <c r="Z7" s="48" t="s">
        <v>45</v>
      </c>
      <c r="AA7" s="48" t="s">
        <v>80</v>
      </c>
      <c r="AB7" s="51">
        <f t="shared" si="0"/>
        <v>35.802</v>
      </c>
      <c r="AC7" s="86">
        <f>數據!P5</f>
        <v>34.58</v>
      </c>
      <c r="AD7" s="3" t="s">
        <v>18</v>
      </c>
      <c r="AE7" s="3" t="s">
        <v>70</v>
      </c>
      <c r="AF7" s="3" t="s">
        <v>134</v>
      </c>
      <c r="AG7" s="3">
        <f t="shared" si="1"/>
        <v>210</v>
      </c>
      <c r="AH7" s="3" t="s">
        <v>6</v>
      </c>
      <c r="AI7" s="71">
        <f>AG7*IF(AH7="G", 450, IF(AH7="D", 350, 0)) * IF(AF7="Y", 1.2, 1)*(INDEX(屬性克制表!$B$2:$T$20, MATCH(AE7, 屬性克制表!$A$2:$A$20, 0), MATCH($L$1, 屬性克制表!$B$1:$T$1, 0)) * INDEX(屬性克制表!$B$2:$T$20, MATCH(AE7, 屬性克制表!$A$2:$A$20, 0), MATCH($M$1, 屬性克制表!$B$1:$T$1, 0)))</f>
        <v>88200</v>
      </c>
      <c r="AJ7">
        <f>_xlfn.XLOOKUP(AD7, 數據!B$2:B$50, 數據!M$2:M$50)</f>
        <v>210</v>
      </c>
      <c r="AK7" s="48" t="s">
        <v>137</v>
      </c>
      <c r="AL7" s="74">
        <f>AB7/(INDEX(屬性克制表!$B$2:$T$20, MATCH($A$1, 屬性克制表!$A$2:$A$20, 0), MATCH(Z7, 屬性克制表!$B$1:$T$1, 0)) * INDEX(屬性克制表!$B$2:$T$20, MATCH($A$1, 屬性克制表!$A$2:$A$20, 0), MATCH(AA7, 屬性克制表!$B$1:$T$1, 0)))</f>
        <v>57.283200000000001</v>
      </c>
      <c r="AM7" s="48" t="s">
        <v>137</v>
      </c>
      <c r="AN7" s="56">
        <f>AB7/(INDEX(屬性克制表!$B$2:$T$20, MATCH($C$1, 屬性克制表!$A$2:$A$20, 0), MATCH(Z7, 屬性克制表!$B$1:$T$1, 0)) * INDEX(屬性克制表!$B$2:$T$20, MATCH($C$1, 屬性克制表!$A$2:$A$20, 0), MATCH(AA7, 屬性克制表!$B$1:$T$1, 0)))</f>
        <v>22.376249999999999</v>
      </c>
      <c r="AO7" s="48" t="s">
        <v>137</v>
      </c>
      <c r="AP7" s="56">
        <f>AB7/(INDEX(屬性克制表!$B$2:$T$20, MATCH($E$1, 屬性克制表!$A$2:$A$20, 0), MATCH(Z7, 屬性克制表!$B$1:$T$1, 0)) * INDEX(屬性克制表!$B$2:$T$20, MATCH($E$1, 屬性克制表!$A$2:$A$20, 0), MATCH(AA7, 屬性克制表!$B$1:$T$1, 0)))</f>
        <v>57.283200000000001</v>
      </c>
      <c r="AQ7" s="48" t="s">
        <v>137</v>
      </c>
      <c r="AR7" s="56">
        <f>AB7/(INDEX(屬性克制表!$B$2:$T$20, MATCH($G$1, 屬性克制表!$A$2:$A$20, 0), MATCH(Z7, 屬性克制表!$B$1:$T$1, 0)) * INDEX(屬性克制表!$B$2:$T$20, MATCH($G$1, 屬性克制表!$A$2:$A$20, 0), MATCH(AA7, 屬性克制表!$B$1:$T$1, 0)))</f>
        <v>35.802</v>
      </c>
    </row>
    <row r="8" spans="1:44">
      <c r="A8" s="81" t="str">
        <v>仙子伊布</v>
      </c>
      <c r="B8" s="83">
        <v>50.377600000000001</v>
      </c>
      <c r="C8" s="81" t="str">
        <v>鋼鎧鴉</v>
      </c>
      <c r="D8" s="83">
        <v>50.111892583120202</v>
      </c>
      <c r="E8" s="81" t="str">
        <v>水伊布</v>
      </c>
      <c r="F8" s="83">
        <v>51.152000000000001</v>
      </c>
      <c r="G8" s="81" t="str">
        <v>巨金怪</v>
      </c>
      <c r="H8" s="83">
        <v>48.686399999999999</v>
      </c>
      <c r="I8" s="76"/>
      <c r="J8" s="48" t="str">
        <v>噴火龍</v>
      </c>
      <c r="K8" s="48" t="str">
        <v>火</v>
      </c>
      <c r="L8" s="48" t="str">
        <v>Y</v>
      </c>
      <c r="M8" s="48">
        <v>187</v>
      </c>
      <c r="N8" s="48" t="str">
        <v>G</v>
      </c>
      <c r="O8" s="79">
        <v>161568</v>
      </c>
      <c r="P8" s="91">
        <f t="shared" si="2"/>
        <v>0.74023574947220261</v>
      </c>
      <c r="Q8" s="71"/>
      <c r="R8" s="71"/>
      <c r="S8" s="71"/>
      <c r="T8" s="71"/>
      <c r="U8" s="71"/>
      <c r="V8" s="71"/>
      <c r="W8" s="71"/>
      <c r="Y8" s="48" t="s">
        <v>55</v>
      </c>
      <c r="Z8" s="48" t="s">
        <v>98</v>
      </c>
      <c r="AA8" s="48" t="s">
        <v>43</v>
      </c>
      <c r="AB8" s="51">
        <f t="shared" si="0"/>
        <v>30.504000000000001</v>
      </c>
      <c r="AC8" s="86">
        <f>數據!P6</f>
        <v>35.802</v>
      </c>
      <c r="AD8" s="3" t="s">
        <v>56</v>
      </c>
      <c r="AE8" s="4" t="s">
        <v>77</v>
      </c>
      <c r="AF8" s="4" t="s">
        <v>134</v>
      </c>
      <c r="AG8" s="3">
        <f t="shared" si="1"/>
        <v>203</v>
      </c>
      <c r="AH8" s="3" t="s">
        <v>6</v>
      </c>
      <c r="AI8" s="71">
        <f>AG8*IF(AH8="G", 450, IF(AH8="D", 350, 0)) * IF(AF8="Y", 1.2, 1)*(INDEX(屬性克制表!$B$2:$T$20, MATCH(AE8, 屬性克制表!$A$2:$A$20, 0), MATCH($L$1, 屬性克制表!$B$1:$T$1, 0)) * INDEX(屬性克制表!$B$2:$T$20, MATCH(AE8, 屬性克制表!$A$2:$A$20, 0), MATCH($M$1, 屬性克制表!$B$1:$T$1, 0)))</f>
        <v>53287.5</v>
      </c>
      <c r="AJ8">
        <f>_xlfn.XLOOKUP(AD8, 數據!B$2:B$50, 數據!M$2:M$50)</f>
        <v>203</v>
      </c>
      <c r="AK8" s="48" t="s">
        <v>55</v>
      </c>
      <c r="AL8" s="74">
        <f>AB8/(INDEX(屬性克制表!$B$2:$T$20, MATCH($A$1, 屬性克制表!$A$2:$A$20, 0), MATCH(Z8, 屬性克制表!$B$1:$T$1, 0)) * INDEX(屬性克制表!$B$2:$T$20, MATCH($A$1, 屬性克制表!$A$2:$A$20, 0), MATCH(AA8, 屬性克制表!$B$1:$T$1, 0)))</f>
        <v>30.504000000000001</v>
      </c>
      <c r="AM8" s="48" t="s">
        <v>55</v>
      </c>
      <c r="AN8" s="56">
        <f>AB8/(INDEX(屬性克制表!$B$2:$T$20, MATCH($C$1, 屬性克制表!$A$2:$A$20, 0), MATCH(Z8, 屬性克制表!$B$1:$T$1, 0)) * INDEX(屬性克制表!$B$2:$T$20, MATCH($C$1, 屬性克制表!$A$2:$A$20, 0), MATCH(AA8, 屬性克制表!$B$1:$T$1, 0)))</f>
        <v>78.015345268542205</v>
      </c>
      <c r="AO8" s="48" t="s">
        <v>55</v>
      </c>
      <c r="AP8" s="56">
        <f>AB8/(INDEX(屬性克制表!$B$2:$T$20, MATCH($E$1, 屬性克制表!$A$2:$A$20, 0), MATCH(Z8, 屬性克制表!$B$1:$T$1, 0)) * INDEX(屬性克制表!$B$2:$T$20, MATCH($E$1, 屬性克制表!$A$2:$A$20, 0), MATCH(AA8, 屬性克制表!$B$1:$T$1, 0)))</f>
        <v>30.504000000000001</v>
      </c>
      <c r="AQ8" s="48" t="s">
        <v>55</v>
      </c>
      <c r="AR8" s="56">
        <f>AB8/(INDEX(屬性克制表!$B$2:$T$20, MATCH($G$1, 屬性克制表!$A$2:$A$20, 0), MATCH(Z8, 屬性克制表!$B$1:$T$1, 0)) * INDEX(屬性克制表!$B$2:$T$20, MATCH($G$1, 屬性克制表!$A$2:$A$20, 0), MATCH(AA8, 屬性克制表!$B$1:$T$1, 0)))</f>
        <v>30.504000000000001</v>
      </c>
    </row>
    <row r="9" spans="1:44">
      <c r="A9" s="81" t="str">
        <v>拉帝歐斯</v>
      </c>
      <c r="B9" s="83">
        <v>44.492800000000003</v>
      </c>
      <c r="C9" s="81" t="str">
        <v>轟擂金剛猩</v>
      </c>
      <c r="D9" s="83">
        <v>43.243200000000002</v>
      </c>
      <c r="E9" s="81" t="str">
        <v>洛奇亞</v>
      </c>
      <c r="F9" s="83">
        <v>50.628999999999998</v>
      </c>
      <c r="G9" s="81" t="str">
        <v>閃焰王牌</v>
      </c>
      <c r="H9" s="83">
        <v>38.975999999999999</v>
      </c>
      <c r="I9" s="76"/>
      <c r="J9" s="48" t="str">
        <v>胡地</v>
      </c>
      <c r="K9" s="48" t="str">
        <v>超能力</v>
      </c>
      <c r="L9" s="48" t="str">
        <v>Y</v>
      </c>
      <c r="M9" s="48">
        <v>225</v>
      </c>
      <c r="N9" s="48" t="str">
        <v>D</v>
      </c>
      <c r="O9" s="79">
        <v>151200</v>
      </c>
      <c r="P9" s="91">
        <f t="shared" si="2"/>
        <v>0.69273399014778314</v>
      </c>
      <c r="Q9" s="71"/>
      <c r="R9" s="71"/>
      <c r="S9" s="71"/>
      <c r="T9" s="71"/>
      <c r="U9" s="71"/>
      <c r="V9" s="71"/>
      <c r="W9" s="71"/>
      <c r="Y9" s="48" t="s">
        <v>86</v>
      </c>
      <c r="Z9" s="48" t="s">
        <v>36</v>
      </c>
      <c r="AA9" s="48" t="s">
        <v>76</v>
      </c>
      <c r="AB9" s="51">
        <f t="shared" si="0"/>
        <v>33.81</v>
      </c>
      <c r="AC9" s="86">
        <f>數據!P7</f>
        <v>30.504000000000001</v>
      </c>
      <c r="AD9" s="3" t="s">
        <v>64</v>
      </c>
      <c r="AE9" s="4" t="s">
        <v>77</v>
      </c>
      <c r="AF9" s="4" t="s">
        <v>134</v>
      </c>
      <c r="AG9" s="3">
        <f t="shared" si="1"/>
        <v>194</v>
      </c>
      <c r="AH9" s="3" t="s">
        <v>6</v>
      </c>
      <c r="AI9" s="71">
        <f>AG9*IF(AH9="G", 450, IF(AH9="D", 350, 0)) * IF(AF9="Y", 1.2, 1)*(INDEX(屬性克制表!$B$2:$T$20, MATCH(AE9, 屬性克制表!$A$2:$A$20, 0), MATCH($L$1, 屬性克制表!$B$1:$T$1, 0)) * INDEX(屬性克制表!$B$2:$T$20, MATCH(AE9, 屬性克制表!$A$2:$A$20, 0), MATCH($M$1, 屬性克制表!$B$1:$T$1, 0)))</f>
        <v>50925</v>
      </c>
      <c r="AJ9">
        <f>_xlfn.XLOOKUP(AD9, 數據!B$2:B$50, 數據!M$2:M$50)</f>
        <v>194</v>
      </c>
      <c r="AK9" s="48" t="s">
        <v>86</v>
      </c>
      <c r="AL9" s="74">
        <f>AB9/(INDEX(屬性克制表!$B$2:$T$20, MATCH($A$1, 屬性克制表!$A$2:$A$20, 0), MATCH(Z9, 屬性克制表!$B$1:$T$1, 0)) * INDEX(屬性克制表!$B$2:$T$20, MATCH($A$1, 屬性克制表!$A$2:$A$20, 0), MATCH(AA9, 屬性克制表!$B$1:$T$1, 0)))</f>
        <v>21.131250000000001</v>
      </c>
      <c r="AM9" s="48" t="s">
        <v>86</v>
      </c>
      <c r="AN9" s="56">
        <f>AB9/(INDEX(屬性克制表!$B$2:$T$20, MATCH($C$1, 屬性克制表!$A$2:$A$20, 0), MATCH(Z9, 屬性克制表!$B$1:$T$1, 0)) * INDEX(屬性克制表!$B$2:$T$20, MATCH($C$1, 屬性克制表!$A$2:$A$20, 0), MATCH(AA9, 屬性克制表!$B$1:$T$1, 0)))</f>
        <v>33.81</v>
      </c>
      <c r="AO9" s="48" t="s">
        <v>86</v>
      </c>
      <c r="AP9" s="56">
        <f>AB9/(INDEX(屬性克制表!$B$2:$T$20, MATCH($E$1, 屬性克制表!$A$2:$A$20, 0), MATCH(Z9, 屬性克制表!$B$1:$T$1, 0)) * INDEX(屬性克制表!$B$2:$T$20, MATCH($E$1, 屬性克制表!$A$2:$A$20, 0), MATCH(AA9, 屬性克制表!$B$1:$T$1, 0)))</f>
        <v>54.096000000000004</v>
      </c>
      <c r="AQ9" s="48" t="s">
        <v>86</v>
      </c>
      <c r="AR9" s="56">
        <f>AB9/(INDEX(屬性克制表!$B$2:$T$20, MATCH($G$1, 屬性克制表!$A$2:$A$20, 0), MATCH(Z9, 屬性克制表!$B$1:$T$1, 0)) * INDEX(屬性克制表!$B$2:$T$20, MATCH($G$1, 屬性克制表!$A$2:$A$20, 0), MATCH(AA9, 屬性克制表!$B$1:$T$1, 0)))</f>
        <v>33.81</v>
      </c>
    </row>
    <row r="10" spans="1:44">
      <c r="A10" s="81" t="str">
        <v>閃電鳥</v>
      </c>
      <c r="B10" s="83">
        <v>40.588799999999999</v>
      </c>
      <c r="C10" s="81" t="str">
        <v>葉伊布</v>
      </c>
      <c r="D10" s="83">
        <v>41.44</v>
      </c>
      <c r="E10" s="81" t="str">
        <v>武道熊師(連)</v>
      </c>
      <c r="F10" s="83">
        <v>45.12</v>
      </c>
      <c r="G10" s="81" t="str">
        <v>火焰鳥</v>
      </c>
      <c r="H10" s="83">
        <v>38.076799999999999</v>
      </c>
      <c r="I10" s="76"/>
      <c r="J10" s="48" t="str">
        <v>鋼鎧鴉</v>
      </c>
      <c r="K10" s="48" t="str">
        <v>飛行</v>
      </c>
      <c r="L10" s="48" t="str">
        <v>Y</v>
      </c>
      <c r="M10" s="48">
        <v>140</v>
      </c>
      <c r="N10" s="48" t="str">
        <v>D</v>
      </c>
      <c r="O10" s="79">
        <v>150528.00000000003</v>
      </c>
      <c r="P10" s="91">
        <f t="shared" si="2"/>
        <v>0.68965517241379315</v>
      </c>
      <c r="Q10" s="71"/>
      <c r="R10" s="71"/>
      <c r="S10" s="71"/>
      <c r="T10" s="71"/>
      <c r="U10" s="71"/>
      <c r="V10" s="71"/>
      <c r="W10" s="71"/>
      <c r="Y10" s="48" t="s">
        <v>82</v>
      </c>
      <c r="Z10" s="48" t="s">
        <v>45</v>
      </c>
      <c r="AA10" s="48" t="s">
        <v>47</v>
      </c>
      <c r="AB10" s="51">
        <f t="shared" si="0"/>
        <v>22.308</v>
      </c>
      <c r="AC10" s="86">
        <f>數據!P8</f>
        <v>33.81</v>
      </c>
      <c r="AD10" s="3" t="s">
        <v>91</v>
      </c>
      <c r="AE10" s="3" t="s">
        <v>35</v>
      </c>
      <c r="AF10" s="3" t="s">
        <v>134</v>
      </c>
      <c r="AG10" s="3">
        <f t="shared" si="1"/>
        <v>200</v>
      </c>
      <c r="AH10" s="3" t="s">
        <v>6</v>
      </c>
      <c r="AI10" s="71">
        <f>AG10*IF(AH10="G", 450, IF(AH10="D", 350, 0)) * IF(AF10="Y", 1.2, 1)*(INDEX(屬性克制表!$B$2:$T$20, MATCH(AE10, 屬性克制表!$A$2:$A$20, 0), MATCH($L$1, 屬性克制表!$B$1:$T$1, 0)) * INDEX(屬性克制表!$B$2:$T$20, MATCH(AE10, 屬性克制表!$A$2:$A$20, 0), MATCH($M$1, 屬性克制表!$B$1:$T$1, 0)))</f>
        <v>52500</v>
      </c>
      <c r="AJ10">
        <f>_xlfn.XLOOKUP(AD10, 數據!B$2:B$50, 數據!M$2:M$50)</f>
        <v>200</v>
      </c>
      <c r="AK10" s="48" t="s">
        <v>82</v>
      </c>
      <c r="AL10" s="74">
        <f>AB10/(INDEX(屬性克制表!$B$2:$T$20, MATCH($A$1, 屬性克制表!$A$2:$A$20, 0), MATCH(Z10, 屬性克制表!$B$1:$T$1, 0)) * INDEX(屬性克制表!$B$2:$T$20, MATCH($A$1, 屬性克制表!$A$2:$A$20, 0), MATCH(AA10, 屬性克制表!$B$1:$T$1, 0)))</f>
        <v>35.692799999999998</v>
      </c>
      <c r="AM10" s="48" t="s">
        <v>82</v>
      </c>
      <c r="AN10" s="56">
        <f>AB10/(INDEX(屬性克制表!$B$2:$T$20, MATCH($C$1, 屬性克制表!$A$2:$A$20, 0), MATCH(Z10, 屬性克制表!$B$1:$T$1, 0)) * INDEX(屬性克制表!$B$2:$T$20, MATCH($C$1, 屬性克制表!$A$2:$A$20, 0), MATCH(AA10, 屬性克制表!$B$1:$T$1, 0)))</f>
        <v>22.308</v>
      </c>
      <c r="AO10" s="48" t="s">
        <v>82</v>
      </c>
      <c r="AP10" s="56">
        <f>AB10/(INDEX(屬性克制表!$B$2:$T$20, MATCH($E$1, 屬性克制表!$A$2:$A$20, 0), MATCH(Z10, 屬性克制表!$B$1:$T$1, 0)) * INDEX(屬性克制表!$B$2:$T$20, MATCH($E$1, 屬性克制表!$A$2:$A$20, 0), MATCH(AA10, 屬性克制表!$B$1:$T$1, 0)))</f>
        <v>35.692799999999998</v>
      </c>
      <c r="AQ10" s="48" t="s">
        <v>82</v>
      </c>
      <c r="AR10" s="56">
        <f>AB10/(INDEX(屬性克制表!$B$2:$T$20, MATCH($G$1, 屬性克制表!$A$2:$A$20, 0), MATCH(Z10, 屬性克制表!$B$1:$T$1, 0)) * INDEX(屬性克制表!$B$2:$T$20, MATCH($G$1, 屬性克制表!$A$2:$A$20, 0), MATCH(AA10, 屬性克制表!$B$1:$T$1, 0)))</f>
        <v>13.942499999999999</v>
      </c>
    </row>
    <row r="11" spans="1:44">
      <c r="A11" s="81" t="str">
        <v>巴大蝶</v>
      </c>
      <c r="B11" s="83">
        <v>40.517119999999998</v>
      </c>
      <c r="C11" s="81" t="str">
        <v>閃電鳥</v>
      </c>
      <c r="D11" s="83">
        <v>40.549872122762146</v>
      </c>
      <c r="E11" s="81" t="str">
        <v>水箭龜</v>
      </c>
      <c r="F11" s="83">
        <v>44.519999999999996</v>
      </c>
      <c r="G11" s="81" t="str">
        <v>妙蛙花</v>
      </c>
      <c r="H11" s="83">
        <v>37.9392</v>
      </c>
      <c r="I11" s="76"/>
      <c r="J11" s="48" t="str">
        <v>拉帝歐斯</v>
      </c>
      <c r="K11" s="48" t="str">
        <v>超能力</v>
      </c>
      <c r="L11" s="48" t="str">
        <v>Y</v>
      </c>
      <c r="M11" s="48">
        <v>221</v>
      </c>
      <c r="N11" s="48" t="str">
        <v>D</v>
      </c>
      <c r="O11" s="79">
        <v>148512</v>
      </c>
      <c r="P11" s="91">
        <f t="shared" si="2"/>
        <v>0.68041871921182251</v>
      </c>
      <c r="Q11" s="71"/>
      <c r="R11" s="71"/>
      <c r="S11" s="71"/>
      <c r="T11" s="71"/>
      <c r="U11" s="71"/>
      <c r="V11" s="71"/>
      <c r="W11" s="71"/>
      <c r="Y11" s="48" t="s">
        <v>87</v>
      </c>
      <c r="Z11" s="48" t="s">
        <v>71</v>
      </c>
      <c r="AA11" s="48" t="s">
        <v>99</v>
      </c>
      <c r="AB11" s="51">
        <f t="shared" si="0"/>
        <v>36.848999999999997</v>
      </c>
      <c r="AC11" s="86">
        <f>數據!P9</f>
        <v>22.308</v>
      </c>
      <c r="AD11" s="3" t="s">
        <v>62</v>
      </c>
      <c r="AE11" s="3" t="s">
        <v>70</v>
      </c>
      <c r="AF11" s="3" t="s">
        <v>134</v>
      </c>
      <c r="AG11" s="3">
        <f t="shared" si="1"/>
        <v>201</v>
      </c>
      <c r="AH11" s="3" t="s">
        <v>6</v>
      </c>
      <c r="AI11" s="71">
        <f>AG11*IF(AH11="G", 450, IF(AH11="D", 350, 0)) * IF(AF11="Y", 1.2, 1)*(INDEX(屬性克制表!$B$2:$T$20, MATCH(AE11, 屬性克制表!$A$2:$A$20, 0), MATCH($L$1, 屬性克制表!$B$1:$T$1, 0)) * INDEX(屬性克制表!$B$2:$T$20, MATCH(AE11, 屬性克制表!$A$2:$A$20, 0), MATCH($M$1, 屬性克制表!$B$1:$T$1, 0)))</f>
        <v>84420</v>
      </c>
      <c r="AJ11">
        <f>_xlfn.XLOOKUP(AD11, 數據!B$2:B$50, 數據!M$2:M$50)</f>
        <v>201</v>
      </c>
      <c r="AK11" s="48" t="s">
        <v>87</v>
      </c>
      <c r="AL11" s="74">
        <f>AB11/(INDEX(屬性克制表!$B$2:$T$20, MATCH($A$1, 屬性克制表!$A$2:$A$20, 0), MATCH(Z11, 屬性克制表!$B$1:$T$1, 0)) * INDEX(屬性克制表!$B$2:$T$20, MATCH($A$1, 屬性克制表!$A$2:$A$20, 0), MATCH(AA11, 屬性克制表!$B$1:$T$1, 0)))</f>
        <v>36.848999999999997</v>
      </c>
      <c r="AM11" s="48" t="s">
        <v>87</v>
      </c>
      <c r="AN11" s="56">
        <f>AB11/(INDEX(屬性克制表!$B$2:$T$20, MATCH($C$1, 屬性克制表!$A$2:$A$20, 0), MATCH(Z11, 屬性克制表!$B$1:$T$1, 0)) * INDEX(屬性克制表!$B$2:$T$20, MATCH($C$1, 屬性克制表!$A$2:$A$20, 0), MATCH(AA11, 屬性克制表!$B$1:$T$1, 0)))</f>
        <v>23.030624999999997</v>
      </c>
      <c r="AO11" s="48" t="s">
        <v>87</v>
      </c>
      <c r="AP11" s="56">
        <f>AB11/(INDEX(屬性克制表!$B$2:$T$20, MATCH($E$1, 屬性克制表!$A$2:$A$20, 0), MATCH(Z11, 屬性克制表!$B$1:$T$1, 0)) * INDEX(屬性克制表!$B$2:$T$20, MATCH($E$1, 屬性克制表!$A$2:$A$20, 0), MATCH(AA11, 屬性克制表!$B$1:$T$1, 0)))</f>
        <v>36.848999999999997</v>
      </c>
      <c r="AQ11" s="48" t="s">
        <v>87</v>
      </c>
      <c r="AR11" s="56">
        <f>AB11/(INDEX(屬性克制表!$B$2:$T$20, MATCH($G$1, 屬性克制表!$A$2:$A$20, 0), MATCH(Z11, 屬性克制表!$B$1:$T$1, 0)) * INDEX(屬性克制表!$B$2:$T$20, MATCH($G$1, 屬性克制表!$A$2:$A$20, 0), MATCH(AA11, 屬性克制表!$B$1:$T$1, 0)))</f>
        <v>58.958399999999997</v>
      </c>
    </row>
    <row r="12" spans="1:44">
      <c r="A12" s="81" t="str">
        <v>心蝙蝠</v>
      </c>
      <c r="B12" s="83">
        <v>38.804479999999998</v>
      </c>
      <c r="C12" s="81" t="str">
        <v>甜冷美后</v>
      </c>
      <c r="D12" s="83">
        <v>39.839999999999996</v>
      </c>
      <c r="E12" s="81" t="str">
        <v>拉帝歐斯</v>
      </c>
      <c r="F12" s="83">
        <v>44.492800000000003</v>
      </c>
      <c r="G12" s="81" t="str">
        <v>龍頭地鼠</v>
      </c>
      <c r="H12" s="83">
        <v>37.904000000000003</v>
      </c>
      <c r="I12" s="76"/>
      <c r="J12" s="48" t="str">
        <v>狒狒達摩</v>
      </c>
      <c r="K12" s="48" t="str">
        <v>火</v>
      </c>
      <c r="L12" s="48" t="str">
        <v>Y</v>
      </c>
      <c r="M12" s="48">
        <v>218</v>
      </c>
      <c r="N12" s="48" t="str">
        <v>D</v>
      </c>
      <c r="O12" s="79">
        <v>146496</v>
      </c>
      <c r="P12" s="91">
        <f t="shared" si="2"/>
        <v>0.67118226600985209</v>
      </c>
      <c r="Q12" s="71"/>
      <c r="R12" s="71"/>
      <c r="S12" s="71"/>
      <c r="T12" s="71"/>
      <c r="U12" s="71"/>
      <c r="V12" s="71"/>
      <c r="W12" s="71"/>
      <c r="Y12" s="48" t="s">
        <v>51</v>
      </c>
      <c r="Z12" s="48" t="s">
        <v>71</v>
      </c>
      <c r="AA12" s="48" t="s">
        <v>47</v>
      </c>
      <c r="AB12" s="51">
        <f t="shared" si="0"/>
        <v>30.428999999999998</v>
      </c>
      <c r="AC12" s="86">
        <f>數據!P10</f>
        <v>36.848999999999997</v>
      </c>
      <c r="AD12" s="3" t="s">
        <v>92</v>
      </c>
      <c r="AE12" s="4" t="s">
        <v>77</v>
      </c>
      <c r="AF12" s="4" t="s">
        <v>134</v>
      </c>
      <c r="AG12" s="3">
        <f t="shared" si="1"/>
        <v>188</v>
      </c>
      <c r="AH12" s="3" t="s">
        <v>6</v>
      </c>
      <c r="AI12" s="71">
        <f>AG12*IF(AH12="G", 450, IF(AH12="D", 350, 0)) * IF(AF12="Y", 1.2, 1)*(INDEX(屬性克制表!$B$2:$T$20, MATCH(AE12, 屬性克制表!$A$2:$A$20, 0), MATCH($L$1, 屬性克制表!$B$1:$T$1, 0)) * INDEX(屬性克制表!$B$2:$T$20, MATCH(AE12, 屬性克制表!$A$2:$A$20, 0), MATCH($M$1, 屬性克制表!$B$1:$T$1, 0)))</f>
        <v>49350</v>
      </c>
      <c r="AJ12">
        <f>_xlfn.XLOOKUP(AD12, 數據!B$2:B$50, 數據!M$2:M$50)</f>
        <v>188</v>
      </c>
      <c r="AK12" s="48" t="s">
        <v>51</v>
      </c>
      <c r="AL12" s="74">
        <f>AB12/(INDEX(屬性克制表!$B$2:$T$20, MATCH($A$1, 屬性克制表!$A$2:$A$20, 0), MATCH(Z12, 屬性克制表!$B$1:$T$1, 0)) * INDEX(屬性克制表!$B$2:$T$20, MATCH($A$1, 屬性克制表!$A$2:$A$20, 0), MATCH(AA12, 屬性克制表!$B$1:$T$1, 0)))</f>
        <v>30.428999999999998</v>
      </c>
      <c r="AM12" s="48" t="s">
        <v>51</v>
      </c>
      <c r="AN12" s="56">
        <f>AB12/(INDEX(屬性克制表!$B$2:$T$20, MATCH($C$1, 屬性克制表!$A$2:$A$20, 0), MATCH(Z12, 屬性克制表!$B$1:$T$1, 0)) * INDEX(屬性克制表!$B$2:$T$20, MATCH($C$1, 屬性克制表!$A$2:$A$20, 0), MATCH(AA12, 屬性克制表!$B$1:$T$1, 0)))</f>
        <v>19.018124999999998</v>
      </c>
      <c r="AO12" s="48" t="s">
        <v>51</v>
      </c>
      <c r="AP12" s="56">
        <f>AB12/(INDEX(屬性克制表!$B$2:$T$20, MATCH($E$1, 屬性克制表!$A$2:$A$20, 0), MATCH(Z12, 屬性克制表!$B$1:$T$1, 0)) * INDEX(屬性克制表!$B$2:$T$20, MATCH($E$1, 屬性克制表!$A$2:$A$20, 0), MATCH(AA12, 屬性克制表!$B$1:$T$1, 0)))</f>
        <v>30.428999999999998</v>
      </c>
      <c r="AQ12" s="48" t="s">
        <v>51</v>
      </c>
      <c r="AR12" s="56">
        <f>AB12/(INDEX(屬性克制表!$B$2:$T$20, MATCH($G$1, 屬性克制表!$A$2:$A$20, 0), MATCH(Z12, 屬性克制表!$B$1:$T$1, 0)) * INDEX(屬性克制表!$B$2:$T$20, MATCH($G$1, 屬性克制表!$A$2:$A$20, 0), MATCH(AA12, 屬性克制表!$B$1:$T$1, 0)))</f>
        <v>48.686399999999999</v>
      </c>
    </row>
    <row r="13" spans="1:44">
      <c r="A13" s="81" t="str">
        <v>幸福蛋</v>
      </c>
      <c r="B13" s="83">
        <v>38.553750000000001</v>
      </c>
      <c r="C13" s="81" t="str">
        <v>心蝙蝠</v>
      </c>
      <c r="D13" s="83">
        <v>38.767263427109974</v>
      </c>
      <c r="E13" s="81" t="str">
        <v>轟擂金剛猩</v>
      </c>
      <c r="F13" s="83">
        <v>43.243200000000002</v>
      </c>
      <c r="G13" s="81" t="str">
        <v>炎帝</v>
      </c>
      <c r="H13" s="83">
        <v>37.683199999999999</v>
      </c>
      <c r="I13" s="76"/>
      <c r="J13" s="48" t="str">
        <v>太陽伊布</v>
      </c>
      <c r="K13" s="48" t="str">
        <v>超能力</v>
      </c>
      <c r="L13" s="48" t="str">
        <v>Y</v>
      </c>
      <c r="M13" s="48">
        <v>218</v>
      </c>
      <c r="N13" s="48" t="str">
        <v>D</v>
      </c>
      <c r="O13" s="79">
        <v>146496</v>
      </c>
      <c r="P13" s="91">
        <f t="shared" si="2"/>
        <v>0.67118226600985209</v>
      </c>
      <c r="Q13" s="71"/>
      <c r="R13" s="71"/>
      <c r="S13" s="71"/>
      <c r="T13" s="71"/>
      <c r="U13" s="71"/>
      <c r="V13" s="71"/>
      <c r="W13" s="71"/>
      <c r="Y13" s="48" t="s">
        <v>8</v>
      </c>
      <c r="Z13" s="48" t="s">
        <v>42</v>
      </c>
      <c r="AA13" s="48" t="s">
        <v>122</v>
      </c>
      <c r="AB13" s="51">
        <f t="shared" si="0"/>
        <v>23.552</v>
      </c>
      <c r="AC13" s="86">
        <f>數據!P12</f>
        <v>30.428999999999998</v>
      </c>
      <c r="AD13" s="3" t="s">
        <v>66</v>
      </c>
      <c r="AE13" s="3" t="s">
        <v>70</v>
      </c>
      <c r="AF13" s="3" t="s">
        <v>134</v>
      </c>
      <c r="AG13" s="3">
        <f t="shared" si="1"/>
        <v>181</v>
      </c>
      <c r="AH13" s="3" t="s">
        <v>6</v>
      </c>
      <c r="AI13" s="71">
        <f>AG13*IF(AH13="G", 450, IF(AH13="D", 350, 0)) * IF(AF13="Y", 1.2, 1)*(INDEX(屬性克制表!$B$2:$T$20, MATCH(AE13, 屬性克制表!$A$2:$A$20, 0), MATCH($L$1, 屬性克制表!$B$1:$T$1, 0)) * INDEX(屬性克制表!$B$2:$T$20, MATCH(AE13, 屬性克制表!$A$2:$A$20, 0), MATCH($M$1, 屬性克制表!$B$1:$T$1, 0)))</f>
        <v>76020</v>
      </c>
      <c r="AJ13">
        <f>_xlfn.XLOOKUP(AD13, 數據!B$2:B$50, 數據!M$2:M$50)</f>
        <v>181</v>
      </c>
      <c r="AK13" s="48" t="s">
        <v>8</v>
      </c>
      <c r="AL13" s="74">
        <f>AB13/(INDEX(屬性克制表!$B$2:$T$20, MATCH($A$1, 屬性克制表!$A$2:$A$20, 0), MATCH(Z13, 屬性克制表!$B$1:$T$1, 0)) * INDEX(屬性克制表!$B$2:$T$20, MATCH($A$1, 屬性克制表!$A$2:$A$20, 0), MATCH(AA13, 屬性克制表!$B$1:$T$1, 0)))</f>
        <v>23.552</v>
      </c>
      <c r="AM13" s="48" t="s">
        <v>8</v>
      </c>
      <c r="AN13" s="56">
        <f>AB13/(INDEX(屬性克制表!$B$2:$T$20, MATCH($C$1, 屬性克制表!$A$2:$A$20, 0), MATCH(Z13, 屬性克制表!$B$1:$T$1, 0)) * INDEX(屬性克制表!$B$2:$T$20, MATCH($C$1, 屬性克制表!$A$2:$A$20, 0), MATCH(AA13, 屬性克制表!$B$1:$T$1, 0)))</f>
        <v>14.719999999999999</v>
      </c>
      <c r="AO13" s="48" t="s">
        <v>8</v>
      </c>
      <c r="AP13" s="56">
        <f>AB13/(INDEX(屬性克制表!$B$2:$T$20, MATCH($E$1, 屬性克制表!$A$2:$A$20, 0), MATCH(Z13, 屬性克制表!$B$1:$T$1, 0)) * INDEX(屬性克制表!$B$2:$T$20, MATCH($E$1, 屬性克制表!$A$2:$A$20, 0), MATCH(AA13, 屬性克制表!$B$1:$T$1, 0)))</f>
        <v>14.719999999999999</v>
      </c>
      <c r="AQ13" s="48" t="s">
        <v>8</v>
      </c>
      <c r="AR13" s="56">
        <f>AB13/(INDEX(屬性克制表!$B$2:$T$20, MATCH($G$1, 屬性克制表!$A$2:$A$20, 0), MATCH(Z13, 屬性克制表!$B$1:$T$1, 0)) * INDEX(屬性克制表!$B$2:$T$20, MATCH($G$1, 屬性克制表!$A$2:$A$20, 0), MATCH(AA13, 屬性克制表!$B$1:$T$1, 0)))</f>
        <v>37.683199999999999</v>
      </c>
    </row>
    <row r="14" spans="1:44">
      <c r="A14" s="81" t="str">
        <v>艾路雷朵</v>
      </c>
      <c r="B14" s="83">
        <v>38.512</v>
      </c>
      <c r="C14" s="81" t="str">
        <v>火焰鳥</v>
      </c>
      <c r="D14" s="83">
        <v>38.040281329923268</v>
      </c>
      <c r="E14" s="81" t="str">
        <v>藏瑪然特</v>
      </c>
      <c r="F14" s="83">
        <v>43.07</v>
      </c>
      <c r="G14" s="81" t="str">
        <v>灰塵山</v>
      </c>
      <c r="H14" s="83">
        <v>36.287999999999997</v>
      </c>
      <c r="I14" s="76"/>
      <c r="J14" s="48" t="str">
        <v>巨金怪</v>
      </c>
      <c r="K14" s="48" t="str">
        <v>超能力</v>
      </c>
      <c r="L14" s="48" t="str">
        <v>Y</v>
      </c>
      <c r="M14" s="48">
        <v>214</v>
      </c>
      <c r="N14" s="48" t="str">
        <v>D</v>
      </c>
      <c r="O14" s="79">
        <v>143808</v>
      </c>
      <c r="P14" s="91">
        <f t="shared" si="2"/>
        <v>0.65886699507389157</v>
      </c>
      <c r="Q14" s="71"/>
      <c r="R14" s="71"/>
      <c r="S14" s="71"/>
      <c r="T14" s="71"/>
      <c r="U14" s="71"/>
      <c r="V14" s="71"/>
      <c r="W14" s="71"/>
      <c r="Y14" s="48" t="s">
        <v>61</v>
      </c>
      <c r="Z14" s="48" t="s">
        <v>71</v>
      </c>
      <c r="AA14" s="48" t="s">
        <v>43</v>
      </c>
      <c r="AB14" s="51">
        <f t="shared" si="0"/>
        <v>31.35</v>
      </c>
      <c r="AC14" s="86">
        <f>數據!P13</f>
        <v>23.552</v>
      </c>
      <c r="AD14" s="3" t="s">
        <v>48</v>
      </c>
      <c r="AE14" s="4" t="s">
        <v>72</v>
      </c>
      <c r="AF14" s="4" t="s">
        <v>134</v>
      </c>
      <c r="AG14" s="3">
        <f t="shared" si="1"/>
        <v>223</v>
      </c>
      <c r="AH14" s="3" t="s">
        <v>5</v>
      </c>
      <c r="AI14" s="71">
        <f>AG14*IF(AH14="G", 450, IF(AH14="D", 350, 0)) * IF(AF14="Y", 1.2, 1)*(INDEX(屬性克制表!$B$2:$T$20, MATCH(AE14, 屬性克制表!$A$2:$A$20, 0), MATCH($L$1, 屬性克制表!$B$1:$T$1, 0)) * INDEX(屬性克制表!$B$2:$T$20, MATCH(AE14, 屬性克制表!$A$2:$A$20, 0), MATCH($M$1, 屬性克制表!$B$1:$T$1, 0)))</f>
        <v>120420</v>
      </c>
      <c r="AJ14">
        <f>_xlfn.XLOOKUP(AD14, 數據!B$2:B$50, 數據!M$2:M$50)</f>
        <v>223</v>
      </c>
      <c r="AK14" s="48" t="s">
        <v>61</v>
      </c>
      <c r="AL14" s="74">
        <f>AB14/(INDEX(屬性克制表!$B$2:$T$20, MATCH($A$1, 屬性克制表!$A$2:$A$20, 0), MATCH(Z14, 屬性克制表!$B$1:$T$1, 0)) * INDEX(屬性克制表!$B$2:$T$20, MATCH($A$1, 屬性克制表!$A$2:$A$20, 0), MATCH(AA14, 屬性克制表!$B$1:$T$1, 0)))</f>
        <v>31.35</v>
      </c>
      <c r="AM14" s="48" t="s">
        <v>61</v>
      </c>
      <c r="AN14" s="56">
        <f>AB14/(INDEX(屬性克制表!$B$2:$T$20, MATCH($C$1, 屬性克制表!$A$2:$A$20, 0), MATCH(Z14, 屬性克制表!$B$1:$T$1, 0)) * INDEX(屬性克制表!$B$2:$T$20, MATCH($C$1, 屬性克制表!$A$2:$A$20, 0), MATCH(AA14, 屬性克制表!$B$1:$T$1, 0)))</f>
        <v>50.111892583120202</v>
      </c>
      <c r="AO14" s="48" t="s">
        <v>61</v>
      </c>
      <c r="AP14" s="56">
        <f>AB14/(INDEX(屬性克制表!$B$2:$T$20, MATCH($E$1, 屬性克制表!$A$2:$A$20, 0), MATCH(Z14, 屬性克制表!$B$1:$T$1, 0)) * INDEX(屬性克制表!$B$2:$T$20, MATCH($E$1, 屬性克制表!$A$2:$A$20, 0), MATCH(AA14, 屬性克制表!$B$1:$T$1, 0)))</f>
        <v>31.35</v>
      </c>
      <c r="AQ14" s="48" t="s">
        <v>61</v>
      </c>
      <c r="AR14" s="56">
        <f>AB14/(INDEX(屬性克制表!$B$2:$T$20, MATCH($G$1, 屬性克制表!$A$2:$A$20, 0), MATCH(Z14, 屬性克制表!$B$1:$T$1, 0)) * INDEX(屬性克制表!$B$2:$T$20, MATCH($G$1, 屬性克制表!$A$2:$A$20, 0), MATCH(AA14, 屬性克制表!$B$1:$T$1, 0)))</f>
        <v>50.160000000000004</v>
      </c>
    </row>
    <row r="15" spans="1:44">
      <c r="A15" s="81" t="str">
        <v>火焰鳥</v>
      </c>
      <c r="B15" s="83">
        <v>38.076799999999999</v>
      </c>
      <c r="C15" s="81" t="str">
        <v>月亮伊布</v>
      </c>
      <c r="D15" s="83">
        <v>36.764000000000003</v>
      </c>
      <c r="E15" s="81" t="str">
        <v>葉伊布</v>
      </c>
      <c r="F15" s="83">
        <v>41.44</v>
      </c>
      <c r="G15" s="81" t="str">
        <v>噴火龍</v>
      </c>
      <c r="H15" s="83">
        <v>36.192</v>
      </c>
      <c r="I15" s="76"/>
      <c r="J15" s="48" t="str">
        <v>火伊布</v>
      </c>
      <c r="K15" s="48" t="str">
        <v>火</v>
      </c>
      <c r="L15" s="48" t="str">
        <v>Y</v>
      </c>
      <c r="M15" s="48">
        <v>206</v>
      </c>
      <c r="N15" s="48" t="str">
        <v>D</v>
      </c>
      <c r="O15" s="79">
        <v>138432</v>
      </c>
      <c r="P15" s="91">
        <f t="shared" si="2"/>
        <v>0.63423645320197031</v>
      </c>
      <c r="Q15" s="71"/>
      <c r="R15" s="71"/>
      <c r="S15" s="71"/>
      <c r="T15" s="71"/>
      <c r="U15" s="71"/>
      <c r="V15" s="71"/>
      <c r="W15" s="71"/>
      <c r="Y15" s="48" t="s">
        <v>60</v>
      </c>
      <c r="Z15" s="48" t="s">
        <v>76</v>
      </c>
      <c r="AA15" s="48" t="s">
        <v>122</v>
      </c>
      <c r="AB15" s="51">
        <f t="shared" si="0"/>
        <v>26.295999999999999</v>
      </c>
      <c r="AC15" s="86">
        <f>數據!P14</f>
        <v>31.35</v>
      </c>
      <c r="AD15" s="3" t="s">
        <v>87</v>
      </c>
      <c r="AE15" s="4" t="s">
        <v>71</v>
      </c>
      <c r="AF15" s="4" t="s">
        <v>134</v>
      </c>
      <c r="AG15" s="3">
        <f t="shared" si="1"/>
        <v>291</v>
      </c>
      <c r="AH15" s="3" t="s">
        <v>6</v>
      </c>
      <c r="AI15" s="71">
        <f>AG15*IF(AH15="G", 450, IF(AH15="D", 350, 0)) * IF(AF15="Y", 1.2, 1)*(INDEX(屬性克制表!$B$2:$T$20, MATCH(AE15, 屬性克制表!$A$2:$A$20, 0), MATCH($L$1, 屬性克制表!$B$1:$T$1, 0)) * INDEX(屬性克制表!$B$2:$T$20, MATCH(AE15, 屬性克制表!$A$2:$A$20, 0), MATCH($M$1, 屬性克制表!$B$1:$T$1, 0)))</f>
        <v>122220</v>
      </c>
      <c r="AJ15">
        <f>_xlfn.XLOOKUP(AD15, 數據!B$2:B$50, 數據!M$2:M$50)</f>
        <v>291</v>
      </c>
      <c r="AK15" s="48" t="s">
        <v>60</v>
      </c>
      <c r="AL15" s="74">
        <f>AB15/(INDEX(屬性克制表!$B$2:$T$20, MATCH($A$1, 屬性克制表!$A$2:$A$20, 0), MATCH(Z15, 屬性克制表!$B$1:$T$1, 0)) * INDEX(屬性克制表!$B$2:$T$20, MATCH($A$1, 屬性克制表!$A$2:$A$20, 0), MATCH(AA15, 屬性克制表!$B$1:$T$1, 0)))</f>
        <v>16.434999999999999</v>
      </c>
      <c r="AM15" s="48" t="s">
        <v>60</v>
      </c>
      <c r="AN15" s="56">
        <f>AB15/(INDEX(屬性克制表!$B$2:$T$20, MATCH($C$1, 屬性克制表!$A$2:$A$20, 0), MATCH(Z15, 屬性克制表!$B$1:$T$1, 0)) * INDEX(屬性克制表!$B$2:$T$20, MATCH($C$1, 屬性克制表!$A$2:$A$20, 0), MATCH(AA15, 屬性克制表!$B$1:$T$1, 0)))</f>
        <v>26.295999999999999</v>
      </c>
      <c r="AO15" s="48" t="s">
        <v>60</v>
      </c>
      <c r="AP15" s="56">
        <f>AB15/(INDEX(屬性克制表!$B$2:$T$20, MATCH($E$1, 屬性克制表!$A$2:$A$20, 0), MATCH(Z15, 屬性克制表!$B$1:$T$1, 0)) * INDEX(屬性克制表!$B$2:$T$20, MATCH($E$1, 屬性克制表!$A$2:$A$20, 0), MATCH(AA15, 屬性克制表!$B$1:$T$1, 0)))</f>
        <v>26.295999999999999</v>
      </c>
      <c r="AQ15" s="48" t="s">
        <v>60</v>
      </c>
      <c r="AR15" s="56">
        <f>AB15/(INDEX(屬性克制表!$B$2:$T$20, MATCH($G$1, 屬性克制表!$A$2:$A$20, 0), MATCH(Z15, 屬性克制表!$B$1:$T$1, 0)) * INDEX(屬性克制表!$B$2:$T$20, MATCH($G$1, 屬性克制表!$A$2:$A$20, 0), MATCH(AA15, 屬性克制表!$B$1:$T$1, 0)))</f>
        <v>26.295999999999999</v>
      </c>
    </row>
    <row r="16" spans="1:44">
      <c r="A16" s="81" t="str">
        <v>妙蛙花</v>
      </c>
      <c r="B16" s="83">
        <v>37.9392</v>
      </c>
      <c r="C16" s="81" t="str">
        <v>噴火龍</v>
      </c>
      <c r="D16" s="83">
        <v>36.15728900255754</v>
      </c>
      <c r="E16" s="81" t="str">
        <v>甜冷美后</v>
      </c>
      <c r="F16" s="83">
        <v>39.839999999999996</v>
      </c>
      <c r="G16" s="81" t="str">
        <v>超極巨灰塵山</v>
      </c>
      <c r="H16" s="83">
        <v>35.839999999999996</v>
      </c>
      <c r="I16" s="76"/>
      <c r="J16" s="48" t="str">
        <v>閃焰王牌</v>
      </c>
      <c r="K16" s="48" t="str">
        <v>火</v>
      </c>
      <c r="L16" s="48" t="str">
        <v>Y</v>
      </c>
      <c r="M16" s="48">
        <v>205</v>
      </c>
      <c r="N16" s="48" t="str">
        <v>D</v>
      </c>
      <c r="O16" s="79">
        <v>137760</v>
      </c>
      <c r="P16" s="91">
        <f t="shared" si="2"/>
        <v>0.6311576354679802</v>
      </c>
      <c r="Q16" s="71"/>
      <c r="R16" s="71"/>
      <c r="S16" s="71"/>
      <c r="T16" s="71"/>
      <c r="U16" s="71"/>
      <c r="V16" s="71"/>
      <c r="W16" s="71"/>
      <c r="Y16" s="48" t="s">
        <v>67</v>
      </c>
      <c r="Z16" s="48" t="s">
        <v>74</v>
      </c>
      <c r="AA16" s="48" t="s">
        <v>122</v>
      </c>
      <c r="AB16" s="51">
        <f t="shared" si="0"/>
        <v>29.295000000000002</v>
      </c>
      <c r="AC16" s="86">
        <f>數據!P15</f>
        <v>26.295999999999999</v>
      </c>
      <c r="AD16" s="3" t="s">
        <v>84</v>
      </c>
      <c r="AE16" s="4" t="s">
        <v>39</v>
      </c>
      <c r="AF16" s="4" t="s">
        <v>134</v>
      </c>
      <c r="AG16" s="3">
        <f t="shared" si="1"/>
        <v>177</v>
      </c>
      <c r="AH16" s="3" t="s">
        <v>6</v>
      </c>
      <c r="AI16" s="71">
        <f>AG16*IF(AH16="G", 450, IF(AH16="D", 350, 0)) * IF(AF16="Y", 1.2, 1)*(INDEX(屬性克制表!$B$2:$T$20, MATCH(AE16, 屬性克制表!$A$2:$A$20, 0), MATCH($L$1, 屬性克制表!$B$1:$T$1, 0)) * INDEX(屬性克制表!$B$2:$T$20, MATCH(AE16, 屬性克制表!$A$2:$A$20, 0), MATCH($M$1, 屬性克制表!$B$1:$T$1, 0)))</f>
        <v>46462.5</v>
      </c>
      <c r="AJ16">
        <f>_xlfn.XLOOKUP(AD16, 數據!B$2:B$50, 數據!M$2:M$50)</f>
        <v>177</v>
      </c>
      <c r="AK16" s="48" t="s">
        <v>67</v>
      </c>
      <c r="AL16" s="74">
        <f>AB16/(INDEX(屬性克制表!$B$2:$T$20, MATCH($A$1, 屬性克制表!$A$2:$A$20, 0), MATCH(Z16, 屬性克制表!$B$1:$T$1, 0)) * INDEX(屬性克制表!$B$2:$T$20, MATCH($A$1, 屬性克制表!$A$2:$A$20, 0), MATCH(AA16, 屬性克制表!$B$1:$T$1, 0)))</f>
        <v>18.309374999999999</v>
      </c>
      <c r="AM16" s="48" t="s">
        <v>67</v>
      </c>
      <c r="AN16" s="56">
        <f>AB16/(INDEX(屬性克制表!$B$2:$T$20, MATCH($C$1, 屬性克制表!$A$2:$A$20, 0), MATCH(Z16, 屬性克制表!$B$1:$T$1, 0)) * INDEX(屬性克制表!$B$2:$T$20, MATCH($C$1, 屬性克制表!$A$2:$A$20, 0), MATCH(AA16, 屬性克制表!$B$1:$T$1, 0)))</f>
        <v>29.295000000000002</v>
      </c>
      <c r="AO16" s="48" t="s">
        <v>67</v>
      </c>
      <c r="AP16" s="56">
        <f>AB16/(INDEX(屬性克制表!$B$2:$T$20, MATCH($E$1, 屬性克制表!$A$2:$A$20, 0), MATCH(Z16, 屬性克制表!$B$1:$T$1, 0)) * INDEX(屬性克制表!$B$2:$T$20, MATCH($E$1, 屬性克制表!$A$2:$A$20, 0), MATCH(AA16, 屬性克制表!$B$1:$T$1, 0)))</f>
        <v>29.295000000000002</v>
      </c>
      <c r="AQ16" s="48" t="s">
        <v>67</v>
      </c>
      <c r="AR16" s="56">
        <f>AB16/(INDEX(屬性克制表!$B$2:$T$20, MATCH($G$1, 屬性克制表!$A$2:$A$20, 0), MATCH(Z16, 屬性克制表!$B$1:$T$1, 0)) * INDEX(屬性克制表!$B$2:$T$20, MATCH($G$1, 屬性克制表!$A$2:$A$20, 0), MATCH(AA16, 屬性克制表!$B$1:$T$1, 0)))</f>
        <v>29.295000000000002</v>
      </c>
    </row>
    <row r="17" spans="1:44">
      <c r="A17" s="81" t="str">
        <v>蒼響</v>
      </c>
      <c r="B17" s="83">
        <v>36.848999999999997</v>
      </c>
      <c r="C17" s="81" t="str">
        <v>水君</v>
      </c>
      <c r="D17" s="83">
        <v>34.58</v>
      </c>
      <c r="E17" s="81" t="str">
        <v>妙蛙花</v>
      </c>
      <c r="F17" s="83">
        <v>37.9392</v>
      </c>
      <c r="G17" s="81" t="str">
        <v>無極汰那</v>
      </c>
      <c r="H17" s="83">
        <v>35.802</v>
      </c>
      <c r="I17" s="76"/>
      <c r="J17" s="48" t="str">
        <v>烏賊王</v>
      </c>
      <c r="K17" s="48" t="str">
        <v>飛行</v>
      </c>
      <c r="L17" s="48" t="str">
        <v>N</v>
      </c>
      <c r="M17" s="48">
        <v>151</v>
      </c>
      <c r="N17" s="48" t="str">
        <v>D</v>
      </c>
      <c r="O17" s="79">
        <v>135296.00000000003</v>
      </c>
      <c r="P17" s="91">
        <f t="shared" si="2"/>
        <v>0.6198686371100165</v>
      </c>
      <c r="Q17" s="71"/>
      <c r="R17" s="71"/>
      <c r="S17" s="71"/>
      <c r="T17" s="71"/>
      <c r="U17" s="71"/>
      <c r="V17" s="71"/>
      <c r="W17" s="71"/>
      <c r="Y17" s="48" t="s">
        <v>64</v>
      </c>
      <c r="Z17" s="48" t="s">
        <v>77</v>
      </c>
      <c r="AA17" s="48" t="s">
        <v>122</v>
      </c>
      <c r="AB17" s="51">
        <f t="shared" si="0"/>
        <v>27.37</v>
      </c>
      <c r="AC17" s="86">
        <f>數據!P16</f>
        <v>29.295000000000002</v>
      </c>
      <c r="AD17" s="3" t="s">
        <v>33</v>
      </c>
      <c r="AE17" s="3" t="s">
        <v>35</v>
      </c>
      <c r="AF17" s="3" t="s">
        <v>134</v>
      </c>
      <c r="AG17" s="3">
        <f t="shared" si="1"/>
        <v>159</v>
      </c>
      <c r="AH17" s="3" t="s">
        <v>6</v>
      </c>
      <c r="AI17" s="71">
        <f>AG17*IF(AH17="G", 450, IF(AH17="D", 350, 0)) * IF(AF17="Y", 1.2, 1)*(INDEX(屬性克制表!$B$2:$T$20, MATCH(AE17, 屬性克制表!$A$2:$A$20, 0), MATCH($L$1, 屬性克制表!$B$1:$T$1, 0)) * INDEX(屬性克制表!$B$2:$T$20, MATCH(AE17, 屬性克制表!$A$2:$A$20, 0), MATCH($M$1, 屬性克制表!$B$1:$T$1, 0)))</f>
        <v>41737.5</v>
      </c>
      <c r="AJ17">
        <f>_xlfn.XLOOKUP(AD17, 數據!B$2:B$50, 數據!M$2:M$50)</f>
        <v>159</v>
      </c>
      <c r="AK17" s="48" t="s">
        <v>64</v>
      </c>
      <c r="AL17" s="74">
        <f>AB17/(INDEX(屬性克制表!$B$2:$T$20, MATCH($A$1, 屬性克制表!$A$2:$A$20, 0), MATCH(Z17, 屬性克制表!$B$1:$T$1, 0)) * INDEX(屬性克制表!$B$2:$T$20, MATCH($A$1, 屬性克制表!$A$2:$A$20, 0), MATCH(AA17, 屬性克制表!$B$1:$T$1, 0)))</f>
        <v>27.37</v>
      </c>
      <c r="AM17" s="48" t="s">
        <v>64</v>
      </c>
      <c r="AN17" s="56">
        <f>AB17/(INDEX(屬性克制表!$B$2:$T$20, MATCH($C$1, 屬性克制表!$A$2:$A$20, 0), MATCH(Z17, 屬性克制表!$B$1:$T$1, 0)) * INDEX(屬性克制表!$B$2:$T$20, MATCH($C$1, 屬性克制表!$A$2:$A$20, 0), MATCH(AA17, 屬性克制表!$B$1:$T$1, 0)))</f>
        <v>17.106249999999999</v>
      </c>
      <c r="AO17" s="48" t="s">
        <v>64</v>
      </c>
      <c r="AP17" s="56">
        <f>AB17/(INDEX(屬性克制表!$B$2:$T$20, MATCH($E$1, 屬性克制表!$A$2:$A$20, 0), MATCH(Z17, 屬性克制表!$B$1:$T$1, 0)) * INDEX(屬性克制表!$B$2:$T$20, MATCH($E$1, 屬性克制表!$A$2:$A$20, 0), MATCH(AA17, 屬性克制表!$B$1:$T$1, 0)))</f>
        <v>27.37</v>
      </c>
      <c r="AQ17" s="48" t="s">
        <v>64</v>
      </c>
      <c r="AR17" s="56">
        <f>AB17/(INDEX(屬性克制表!$B$2:$T$20, MATCH($G$1, 屬性克制表!$A$2:$A$20, 0), MATCH(Z17, 屬性克制表!$B$1:$T$1, 0)) * INDEX(屬性克制表!$B$2:$T$20, MATCH($G$1, 屬性克制表!$A$2:$A$20, 0), MATCH(AA17, 屬性克制表!$B$1:$T$1, 0)))</f>
        <v>27.37</v>
      </c>
    </row>
    <row r="18" spans="1:44">
      <c r="A18" s="81" t="str">
        <v>灰塵山</v>
      </c>
      <c r="B18" s="83">
        <v>36.287999999999997</v>
      </c>
      <c r="C18" s="81" t="str">
        <v>拉普拉斯</v>
      </c>
      <c r="D18" s="83">
        <v>33.81</v>
      </c>
      <c r="E18" s="81" t="str">
        <v>鋁鋼龍</v>
      </c>
      <c r="F18" s="83">
        <v>37.1616</v>
      </c>
      <c r="G18" s="81" t="str">
        <v>水君</v>
      </c>
      <c r="H18" s="83">
        <v>34.58</v>
      </c>
      <c r="I18" s="76"/>
      <c r="J18" s="48" t="str">
        <v>火焰鳥</v>
      </c>
      <c r="K18" s="48" t="str">
        <v>火</v>
      </c>
      <c r="L18" s="48" t="str">
        <v>Y</v>
      </c>
      <c r="M18" s="48">
        <v>200</v>
      </c>
      <c r="N18" s="48" t="str">
        <v>D</v>
      </c>
      <c r="O18" s="79">
        <v>134400</v>
      </c>
      <c r="P18" s="91">
        <f t="shared" si="2"/>
        <v>0.61576354679802947</v>
      </c>
      <c r="Q18" s="71"/>
      <c r="R18" s="71"/>
      <c r="S18" s="71"/>
      <c r="T18" s="71"/>
      <c r="U18" s="71"/>
      <c r="V18" s="71"/>
      <c r="W18" s="71"/>
      <c r="Y18" s="48" t="s">
        <v>81</v>
      </c>
      <c r="Z18" s="48" t="s">
        <v>45</v>
      </c>
      <c r="AA18" s="48" t="s">
        <v>47</v>
      </c>
      <c r="AB18" s="51">
        <f t="shared" si="0"/>
        <v>27.808</v>
      </c>
      <c r="AC18" s="86">
        <f>數據!P17</f>
        <v>27.37</v>
      </c>
      <c r="AD18" s="3" t="s">
        <v>69</v>
      </c>
      <c r="AE18" s="3" t="s">
        <v>70</v>
      </c>
      <c r="AF18" s="3" t="s">
        <v>134</v>
      </c>
      <c r="AG18" s="3">
        <f t="shared" si="1"/>
        <v>160</v>
      </c>
      <c r="AH18" s="3" t="s">
        <v>6</v>
      </c>
      <c r="AI18" s="71">
        <f>AG18*IF(AH18="G", 450, IF(AH18="D", 350, 0)) * IF(AF18="Y", 1.2, 1)*(INDEX(屬性克制表!$B$2:$T$20, MATCH(AE18, 屬性克制表!$A$2:$A$20, 0), MATCH($L$1, 屬性克制表!$B$1:$T$1, 0)) * INDEX(屬性克制表!$B$2:$T$20, MATCH(AE18, 屬性克制表!$A$2:$A$20, 0), MATCH($M$1, 屬性克制表!$B$1:$T$1, 0)))</f>
        <v>67200</v>
      </c>
      <c r="AJ18">
        <f>_xlfn.XLOOKUP(AD18, 數據!B$2:B$50, 數據!M$2:M$50)</f>
        <v>160</v>
      </c>
      <c r="AK18" s="48" t="s">
        <v>81</v>
      </c>
      <c r="AL18" s="74">
        <f>AB18/(INDEX(屬性克制表!$B$2:$T$20, MATCH($A$1, 屬性克制表!$A$2:$A$20, 0), MATCH(Z18, 屬性克制表!$B$1:$T$1, 0)) * INDEX(屬性克制表!$B$2:$T$20, MATCH($A$1, 屬性克制表!$A$2:$A$20, 0), MATCH(AA18, 屬性克制表!$B$1:$T$1, 0)))</f>
        <v>44.492800000000003</v>
      </c>
      <c r="AM18" s="48" t="s">
        <v>81</v>
      </c>
      <c r="AN18" s="56">
        <f>AB18/(INDEX(屬性克制表!$B$2:$T$20, MATCH($C$1, 屬性克制表!$A$2:$A$20, 0), MATCH(Z18, 屬性克制表!$B$1:$T$1, 0)) * INDEX(屬性克制表!$B$2:$T$20, MATCH($C$1, 屬性克制表!$A$2:$A$20, 0), MATCH(AA18, 屬性克制表!$B$1:$T$1, 0)))</f>
        <v>27.808</v>
      </c>
      <c r="AO18" s="48" t="s">
        <v>81</v>
      </c>
      <c r="AP18" s="56">
        <f>AB18/(INDEX(屬性克制表!$B$2:$T$20, MATCH($E$1, 屬性克制表!$A$2:$A$20, 0), MATCH(Z18, 屬性克制表!$B$1:$T$1, 0)) * INDEX(屬性克制表!$B$2:$T$20, MATCH($E$1, 屬性克制表!$A$2:$A$20, 0), MATCH(AA18, 屬性克制表!$B$1:$T$1, 0)))</f>
        <v>44.492800000000003</v>
      </c>
      <c r="AQ18" s="48" t="s">
        <v>81</v>
      </c>
      <c r="AR18" s="56">
        <f>AB18/(INDEX(屬性克制表!$B$2:$T$20, MATCH($G$1, 屬性克制表!$A$2:$A$20, 0), MATCH(Z18, 屬性克制表!$B$1:$T$1, 0)) * INDEX(屬性克制表!$B$2:$T$20, MATCH($G$1, 屬性克制表!$A$2:$A$20, 0), MATCH(AA18, 屬性克制表!$B$1:$T$1, 0)))</f>
        <v>17.38</v>
      </c>
    </row>
    <row r="19" spans="1:44">
      <c r="A19" s="81" t="str">
        <v>噴火龍</v>
      </c>
      <c r="B19" s="83">
        <v>36.192</v>
      </c>
      <c r="C19" s="81" t="str">
        <v>卡比獸</v>
      </c>
      <c r="D19" s="83">
        <v>33.768000000000001</v>
      </c>
      <c r="E19" s="81" t="str">
        <v>蒼響</v>
      </c>
      <c r="F19" s="83">
        <v>36.848999999999997</v>
      </c>
      <c r="G19" s="81" t="str">
        <v>火伊布</v>
      </c>
      <c r="H19" s="83">
        <v>34.272000000000006</v>
      </c>
      <c r="I19" s="76"/>
      <c r="J19" s="48" t="str">
        <v>冰伊布</v>
      </c>
      <c r="K19" s="48" t="str">
        <v>冰</v>
      </c>
      <c r="L19" s="48" t="str">
        <v>Y</v>
      </c>
      <c r="M19" s="48">
        <v>200</v>
      </c>
      <c r="N19" s="48" t="str">
        <v>D</v>
      </c>
      <c r="O19" s="79">
        <v>134400</v>
      </c>
      <c r="P19" s="91">
        <f t="shared" si="2"/>
        <v>0.61576354679802947</v>
      </c>
      <c r="Q19" s="71"/>
      <c r="R19" s="71"/>
      <c r="S19" s="71"/>
      <c r="T19" s="71"/>
      <c r="U19" s="71"/>
      <c r="V19" s="71"/>
      <c r="W19" s="71"/>
      <c r="Y19" s="48" t="s">
        <v>18</v>
      </c>
      <c r="Z19" s="48" t="s">
        <v>94</v>
      </c>
      <c r="AA19" s="48" t="s">
        <v>36</v>
      </c>
      <c r="AB19" s="51">
        <f t="shared" si="0"/>
        <v>28.2</v>
      </c>
      <c r="AC19" s="86">
        <f>數據!P11</f>
        <v>27.808</v>
      </c>
      <c r="AD19" s="4" t="s">
        <v>1</v>
      </c>
      <c r="AE19" s="3" t="s">
        <v>100</v>
      </c>
      <c r="AF19" s="3" t="s">
        <v>134</v>
      </c>
      <c r="AG19" s="3">
        <f t="shared" si="1"/>
        <v>205</v>
      </c>
      <c r="AH19" s="7" t="s">
        <v>5</v>
      </c>
      <c r="AI19" s="71">
        <f>AG19*IF(AH19="G", 450, IF(AH19="D", 350, 0)) * IF(AF19="Y", 1.2, 1)*(INDEX(屬性克制表!$B$2:$T$20, MATCH(AE19, 屬性克制表!$A$2:$A$20, 0), MATCH($L$1, 屬性克制表!$B$1:$T$1, 0)) * INDEX(屬性克制表!$B$2:$T$20, MATCH(AE19, 屬性克制表!$A$2:$A$20, 0), MATCH($M$1, 屬性克制表!$B$1:$T$1, 0)))</f>
        <v>177120</v>
      </c>
      <c r="AJ19">
        <f>_xlfn.XLOOKUP(AD19, 數據!B$2:B$50, 數據!M$2:M$50)</f>
        <v>205</v>
      </c>
      <c r="AK19" s="48" t="s">
        <v>18</v>
      </c>
      <c r="AL19" s="74">
        <f>AB19/(INDEX(屬性克制表!$B$2:$T$20, MATCH($A$1, 屬性克制表!$A$2:$A$20, 0), MATCH(Z19, 屬性克制表!$B$1:$T$1, 0)) * INDEX(屬性克制表!$B$2:$T$20, MATCH($A$1, 屬性克制表!$A$2:$A$20, 0), MATCH(AA19, 屬性克制表!$B$1:$T$1, 0)))</f>
        <v>28.2</v>
      </c>
      <c r="AM19" s="48" t="s">
        <v>18</v>
      </c>
      <c r="AN19" s="56">
        <f>AB19/(INDEX(屬性克制表!$B$2:$T$20, MATCH($C$1, 屬性克制表!$A$2:$A$20, 0), MATCH(Z19, 屬性克制表!$B$1:$T$1, 0)) * INDEX(屬性克制表!$B$2:$T$20, MATCH($C$1, 屬性克制表!$A$2:$A$20, 0), MATCH(AA19, 屬性克制表!$B$1:$T$1, 0)))</f>
        <v>28.2</v>
      </c>
      <c r="AO19" s="48" t="s">
        <v>18</v>
      </c>
      <c r="AP19" s="56">
        <f>AB19/(INDEX(屬性克制表!$B$2:$T$20, MATCH($E$1, 屬性克制表!$A$2:$A$20, 0), MATCH(Z19, 屬性克制表!$B$1:$T$1, 0)) * INDEX(屬性克制表!$B$2:$T$20, MATCH($E$1, 屬性克制表!$A$2:$A$20, 0), MATCH(AA19, 屬性克制表!$B$1:$T$1, 0)))</f>
        <v>45.12</v>
      </c>
      <c r="AQ19" s="48" t="s">
        <v>18</v>
      </c>
      <c r="AR19" s="56">
        <f>AB19/(INDEX(屬性克制表!$B$2:$T$20, MATCH($G$1, 屬性克制表!$A$2:$A$20, 0), MATCH(Z19, 屬性克制表!$B$1:$T$1, 0)) * INDEX(屬性克制表!$B$2:$T$20, MATCH($G$1, 屬性克制表!$A$2:$A$20, 0), MATCH(AA19, 屬性克制表!$B$1:$T$1, 0)))</f>
        <v>28.2</v>
      </c>
    </row>
    <row r="20" spans="1:44">
      <c r="A20" s="81" t="str">
        <v>超極巨灰塵山</v>
      </c>
      <c r="B20" s="83">
        <v>35.839999999999996</v>
      </c>
      <c r="C20" s="81" t="str">
        <v>壺壺</v>
      </c>
      <c r="D20" s="83">
        <v>33.659999999999997</v>
      </c>
      <c r="E20" s="81" t="str">
        <v>月亮伊布</v>
      </c>
      <c r="F20" s="83">
        <v>36.764000000000003</v>
      </c>
      <c r="G20" s="81" t="str">
        <v>拉普拉斯</v>
      </c>
      <c r="H20" s="83">
        <v>33.81</v>
      </c>
      <c r="I20" s="76"/>
      <c r="J20" s="48" t="str">
        <v>超極巨灰塵山</v>
      </c>
      <c r="K20" s="48" t="str">
        <v>毒</v>
      </c>
      <c r="L20" s="48" t="str">
        <v>Y</v>
      </c>
      <c r="M20" s="48">
        <v>155</v>
      </c>
      <c r="N20" s="48" t="str">
        <v>G</v>
      </c>
      <c r="O20" s="79">
        <v>133920</v>
      </c>
      <c r="P20" s="91">
        <f t="shared" si="2"/>
        <v>0.61356439127375073</v>
      </c>
      <c r="Q20" s="71"/>
      <c r="R20" s="71"/>
      <c r="S20" s="71"/>
      <c r="T20" s="71"/>
      <c r="U20" s="71"/>
      <c r="V20" s="71"/>
      <c r="W20" s="71"/>
      <c r="Y20" s="48" t="s">
        <v>90</v>
      </c>
      <c r="Z20" s="48" t="s">
        <v>94</v>
      </c>
      <c r="AA20" s="48" t="s">
        <v>37</v>
      </c>
      <c r="AB20" s="51">
        <f>數據!P19</f>
        <v>28.2</v>
      </c>
      <c r="AC20" s="86">
        <f>數據!P18</f>
        <v>28.2</v>
      </c>
      <c r="AD20" s="3" t="s">
        <v>54</v>
      </c>
      <c r="AE20" s="3" t="s">
        <v>70</v>
      </c>
      <c r="AF20" s="3" t="s">
        <v>135</v>
      </c>
      <c r="AG20" s="3">
        <f t="shared" si="1"/>
        <v>185</v>
      </c>
      <c r="AH20" s="3" t="s">
        <v>6</v>
      </c>
      <c r="AI20" s="71">
        <f>AG20*IF(AH20="G", 450, IF(AH20="D", 350, 0)) * IF(AF20="Y", 1.2, 1)*(INDEX(屬性克制表!$B$2:$T$20, MATCH(AE20, 屬性克制表!$A$2:$A$20, 0), MATCH($L$1, 屬性克制表!$B$1:$T$1, 0)) * INDEX(屬性克制表!$B$2:$T$20, MATCH(AE20, 屬性克制表!$A$2:$A$20, 0), MATCH($M$1, 屬性克制表!$B$1:$T$1, 0)))</f>
        <v>64750</v>
      </c>
      <c r="AJ20">
        <f>_xlfn.XLOOKUP(AD20, 數據!B$2:B$50, 數據!M$2:M$50)</f>
        <v>185</v>
      </c>
      <c r="AK20" s="48" t="s">
        <v>90</v>
      </c>
      <c r="AL20" s="74">
        <f>AB20/(INDEX(屬性克制表!$B$2:$T$20, MATCH($A$1, 屬性克制表!$A$2:$A$20, 0), MATCH(Z20, 屬性克制表!$B$1:$T$1, 0)) * INDEX(屬性克制表!$B$2:$T$20, MATCH($A$1, 屬性克制表!$A$2:$A$20, 0), MATCH(AA20, 屬性克制表!$B$1:$T$1, 0)))</f>
        <v>17.625</v>
      </c>
      <c r="AM20" s="48" t="s">
        <v>90</v>
      </c>
      <c r="AN20" s="56">
        <f>AB20/(INDEX(屬性克制表!$B$2:$T$20, MATCH($C$1, 屬性克制表!$A$2:$A$20, 0), MATCH(Z20, 屬性克制表!$B$1:$T$1, 0)) * INDEX(屬性克制表!$B$2:$T$20, MATCH($C$1, 屬性克制表!$A$2:$A$20, 0), MATCH(AA20, 屬性克制表!$B$1:$T$1, 0)))</f>
        <v>28.2</v>
      </c>
      <c r="AO20" s="48" t="s">
        <v>90</v>
      </c>
      <c r="AP20" s="56">
        <f>AB20/(INDEX(屬性克制表!$B$2:$T$20, MATCH($E$1, 屬性克制表!$A$2:$A$20, 0), MATCH(Z20, 屬性克制表!$B$1:$T$1, 0)) * INDEX(屬性克制表!$B$2:$T$20, MATCH($E$1, 屬性克制表!$A$2:$A$20, 0), MATCH(AA20, 屬性克制表!$B$1:$T$1, 0)))</f>
        <v>28.2</v>
      </c>
      <c r="AQ20" s="48" t="s">
        <v>90</v>
      </c>
      <c r="AR20" s="56">
        <f>AB20/(INDEX(屬性克制表!$B$2:$T$20, MATCH($G$1, 屬性克制表!$A$2:$A$20, 0), MATCH(Z20, 屬性克制表!$B$1:$T$1, 0)) * INDEX(屬性克制表!$B$2:$T$20, MATCH($G$1, 屬性克制表!$A$2:$A$20, 0), MATCH(AA20, 屬性克制表!$B$1:$T$1, 0)))</f>
        <v>17.625</v>
      </c>
    </row>
    <row r="21" spans="1:44">
      <c r="A21" s="81" t="str">
        <v>拉帝亞斯</v>
      </c>
      <c r="B21" s="83">
        <v>35.692799999999998</v>
      </c>
      <c r="C21" s="81" t="str">
        <v>水伊布</v>
      </c>
      <c r="D21" s="83">
        <v>31.97</v>
      </c>
      <c r="E21" s="81" t="str">
        <v>吼鯨王</v>
      </c>
      <c r="F21" s="83">
        <v>36.607999999999997</v>
      </c>
      <c r="G21" s="81" t="str">
        <v>卡比獸</v>
      </c>
      <c r="H21" s="83">
        <v>33.768000000000001</v>
      </c>
      <c r="I21" s="76"/>
      <c r="J21" s="48" t="str">
        <v>沙奈朵</v>
      </c>
      <c r="K21" s="48" t="str">
        <v>超能力</v>
      </c>
      <c r="L21" s="48" t="str">
        <v>Y</v>
      </c>
      <c r="M21" s="48">
        <v>199</v>
      </c>
      <c r="N21" s="48" t="str">
        <v>D</v>
      </c>
      <c r="O21" s="79">
        <v>133728</v>
      </c>
      <c r="P21" s="91">
        <f t="shared" si="2"/>
        <v>0.61268472906403926</v>
      </c>
      <c r="Q21" s="71"/>
      <c r="R21" s="71"/>
      <c r="S21" s="71"/>
      <c r="T21" s="71"/>
      <c r="U21" s="71"/>
      <c r="V21" s="71"/>
      <c r="W21" s="71"/>
      <c r="Y21" s="48" t="s">
        <v>25</v>
      </c>
      <c r="Z21" s="48" t="s">
        <v>36</v>
      </c>
      <c r="AA21" s="48" t="s">
        <v>122</v>
      </c>
      <c r="AB21" s="51">
        <f>數據!P20</f>
        <v>27.824999999999999</v>
      </c>
      <c r="AC21" s="86">
        <f>數據!P19</f>
        <v>28.2</v>
      </c>
      <c r="AD21" s="4" t="s">
        <v>0</v>
      </c>
      <c r="AE21" s="3" t="s">
        <v>100</v>
      </c>
      <c r="AF21" s="3" t="s">
        <v>134</v>
      </c>
      <c r="AG21" s="3">
        <f t="shared" si="1"/>
        <v>187</v>
      </c>
      <c r="AH21" s="7" t="s">
        <v>5</v>
      </c>
      <c r="AI21" s="71">
        <f>AG21*IF(AH21="G", 450, IF(AH21="D", 350, 0)) * IF(AF21="Y", 1.2, 1)*(INDEX(屬性克制表!$B$2:$T$20, MATCH(AE21, 屬性克制表!$A$2:$A$20, 0), MATCH($L$1, 屬性克制表!$B$1:$T$1, 0)) * INDEX(屬性克制表!$B$2:$T$20, MATCH(AE21, 屬性克制表!$A$2:$A$20, 0), MATCH($M$1, 屬性克制表!$B$1:$T$1, 0)))</f>
        <v>161568</v>
      </c>
      <c r="AJ21">
        <f>_xlfn.XLOOKUP(AD21, 數據!B$2:B$50, 數據!M$2:M$50)</f>
        <v>187</v>
      </c>
      <c r="AK21" s="48" t="s">
        <v>25</v>
      </c>
      <c r="AL21" s="74">
        <f>AB21/(INDEX(屬性克制表!$B$2:$T$20, MATCH($A$1, 屬性克制表!$A$2:$A$20, 0), MATCH(Z21, 屬性克制表!$B$1:$T$1, 0)) * INDEX(屬性克制表!$B$2:$T$20, MATCH($A$1, 屬性克制表!$A$2:$A$20, 0), MATCH(AA21, 屬性克制表!$B$1:$T$1, 0)))</f>
        <v>27.824999999999999</v>
      </c>
      <c r="AM21" s="48" t="s">
        <v>25</v>
      </c>
      <c r="AN21" s="56">
        <f>AB21/(INDEX(屬性克制表!$B$2:$T$20, MATCH($C$1, 屬性克制表!$A$2:$A$20, 0), MATCH(Z21, 屬性克制表!$B$1:$T$1, 0)) * INDEX(屬性克制表!$B$2:$T$20, MATCH($C$1, 屬性克制表!$A$2:$A$20, 0), MATCH(AA21, 屬性克制表!$B$1:$T$1, 0)))</f>
        <v>27.824999999999999</v>
      </c>
      <c r="AO21" s="48" t="s">
        <v>25</v>
      </c>
      <c r="AP21" s="56">
        <f>AB21/(INDEX(屬性克制表!$B$2:$T$20, MATCH($E$1, 屬性克制表!$A$2:$A$20, 0), MATCH(Z21, 屬性克制表!$B$1:$T$1, 0)) * INDEX(屬性克制表!$B$2:$T$20, MATCH($E$1, 屬性克制表!$A$2:$A$20, 0), MATCH(AA21, 屬性克制表!$B$1:$T$1, 0)))</f>
        <v>44.519999999999996</v>
      </c>
      <c r="AQ21" s="48" t="s">
        <v>25</v>
      </c>
      <c r="AR21" s="56">
        <f>AB21/(INDEX(屬性克制表!$B$2:$T$20, MATCH($G$1, 屬性克制表!$A$2:$A$20, 0), MATCH(Z21, 屬性克制表!$B$1:$T$1, 0)) * INDEX(屬性克制表!$B$2:$T$20, MATCH($G$1, 屬性克制表!$A$2:$A$20, 0), MATCH(AA21, 屬性克制表!$B$1:$T$1, 0)))</f>
        <v>27.824999999999999</v>
      </c>
    </row>
    <row r="22" spans="1:44">
      <c r="A22" s="81" t="str">
        <v>水君</v>
      </c>
      <c r="B22" s="83">
        <v>34.58</v>
      </c>
      <c r="C22" s="81" t="str">
        <v>仙子伊布</v>
      </c>
      <c r="D22" s="83">
        <v>31.486000000000001</v>
      </c>
      <c r="E22" s="81" t="str">
        <v>拉帝亞斯</v>
      </c>
      <c r="F22" s="83">
        <v>35.692799999999998</v>
      </c>
      <c r="G22" s="81" t="str">
        <v>壺壺</v>
      </c>
      <c r="H22" s="83">
        <v>33.659999999999997</v>
      </c>
      <c r="I22" s="76"/>
      <c r="J22" s="48" t="str">
        <v>艾路雷朵</v>
      </c>
      <c r="K22" s="48" t="str">
        <v>超能力</v>
      </c>
      <c r="L22" s="48" t="str">
        <v>Y</v>
      </c>
      <c r="M22" s="48">
        <v>199</v>
      </c>
      <c r="N22" s="48" t="str">
        <v>D</v>
      </c>
      <c r="O22" s="79">
        <v>133728</v>
      </c>
      <c r="P22" s="91">
        <f t="shared" si="2"/>
        <v>0.61268472906403926</v>
      </c>
      <c r="Q22" s="71"/>
      <c r="R22" s="71"/>
      <c r="S22" s="71"/>
      <c r="T22" s="71"/>
      <c r="U22" s="71"/>
      <c r="V22" s="71"/>
      <c r="W22" s="71"/>
      <c r="Y22" s="48" t="s">
        <v>56</v>
      </c>
      <c r="Z22" s="48" t="s">
        <v>77</v>
      </c>
      <c r="AA22" s="48" t="s">
        <v>43</v>
      </c>
      <c r="AB22" s="51">
        <f>數據!P21</f>
        <v>25.367999999999999</v>
      </c>
      <c r="AC22" s="86">
        <f>數據!P20</f>
        <v>27.824999999999999</v>
      </c>
      <c r="AD22" s="7" t="s">
        <v>137</v>
      </c>
      <c r="AE22" s="4" t="s">
        <v>45</v>
      </c>
      <c r="AF22" s="4" t="s">
        <v>134</v>
      </c>
      <c r="AG22" s="3">
        <f t="shared" si="1"/>
        <v>229</v>
      </c>
      <c r="AH22" s="3" t="s">
        <v>6</v>
      </c>
      <c r="AI22" s="71">
        <f>AG22*IF(AH22="G", 450, IF(AH22="D", 350, 0)) * IF(AF22="Y", 1.2, 1)*(INDEX(屬性克制表!$B$2:$T$20, MATCH(AE22, 屬性克制表!$A$2:$A$20, 0), MATCH($L$1, 屬性克制表!$B$1:$T$1, 0)) * INDEX(屬性克制表!$B$2:$T$20, MATCH(AE22, 屬性克制表!$A$2:$A$20, 0), MATCH($M$1, 屬性克制表!$B$1:$T$1, 0)))</f>
        <v>96180</v>
      </c>
      <c r="AJ22">
        <f>_xlfn.XLOOKUP(AD22, 數據!B$2:B$50, 數據!M$2:M$50)</f>
        <v>229</v>
      </c>
      <c r="AK22" s="48" t="s">
        <v>56</v>
      </c>
      <c r="AL22" s="74">
        <f>AB22/(INDEX(屬性克制表!$B$2:$T$20, MATCH($A$1, 屬性克制表!$A$2:$A$20, 0), MATCH(Z22, 屬性克制表!$B$1:$T$1, 0)) * INDEX(屬性克制表!$B$2:$T$20, MATCH($A$1, 屬性克制表!$A$2:$A$20, 0), MATCH(AA22, 屬性克制表!$B$1:$T$1, 0)))</f>
        <v>40.588799999999999</v>
      </c>
      <c r="AM22" s="48" t="s">
        <v>56</v>
      </c>
      <c r="AN22" s="56">
        <f>AB22/(INDEX(屬性克制表!$B$2:$T$20, MATCH($C$1, 屬性克制表!$A$2:$A$20, 0), MATCH(Z22, 屬性克制表!$B$1:$T$1, 0)) * INDEX(屬性克制表!$B$2:$T$20, MATCH($C$1, 屬性克制表!$A$2:$A$20, 0), MATCH(AA22, 屬性克制表!$B$1:$T$1, 0)))</f>
        <v>40.549872122762146</v>
      </c>
      <c r="AO22" s="48" t="s">
        <v>56</v>
      </c>
      <c r="AP22" s="56">
        <f>AB22/(INDEX(屬性克制表!$B$2:$T$20, MATCH($E$1, 屬性克制表!$A$2:$A$20, 0), MATCH(Z22, 屬性克制表!$B$1:$T$1, 0)) * INDEX(屬性克制表!$B$2:$T$20, MATCH($E$1, 屬性克制表!$A$2:$A$20, 0), MATCH(AA22, 屬性克制表!$B$1:$T$1, 0)))</f>
        <v>25.367999999999999</v>
      </c>
      <c r="AQ22" s="48" t="s">
        <v>56</v>
      </c>
      <c r="AR22" s="56">
        <f>AB22/(INDEX(屬性克制表!$B$2:$T$20, MATCH($G$1, 屬性克制表!$A$2:$A$20, 0), MATCH(Z22, 屬性克制表!$B$1:$T$1, 0)) * INDEX(屬性克制表!$B$2:$T$20, MATCH($G$1, 屬性克制表!$A$2:$A$20, 0), MATCH(AA22, 屬性克制表!$B$1:$T$1, 0)))</f>
        <v>25.367999999999999</v>
      </c>
    </row>
    <row r="23" spans="1:44">
      <c r="A23" s="81" t="str">
        <v>壺壺</v>
      </c>
      <c r="B23" s="83">
        <v>33.659999999999997</v>
      </c>
      <c r="C23" s="81" t="str">
        <v>藏飽栗鼠</v>
      </c>
      <c r="D23" s="83">
        <v>29.295000000000002</v>
      </c>
      <c r="E23" s="81" t="str">
        <v>卡比獸</v>
      </c>
      <c r="F23" s="83">
        <v>33.768000000000001</v>
      </c>
      <c r="G23" s="81" t="str">
        <v>水伊布</v>
      </c>
      <c r="H23" s="83">
        <v>31.97</v>
      </c>
      <c r="I23" s="76"/>
      <c r="J23" s="48" t="str">
        <v>布莉姆溫</v>
      </c>
      <c r="K23" s="48" t="str">
        <v>超能力</v>
      </c>
      <c r="L23" s="48" t="str">
        <v>Y</v>
      </c>
      <c r="M23" s="48">
        <v>198</v>
      </c>
      <c r="N23" s="48" t="str">
        <v>D</v>
      </c>
      <c r="O23" s="79">
        <v>133056</v>
      </c>
      <c r="P23" s="91">
        <f t="shared" si="2"/>
        <v>0.60960591133004915</v>
      </c>
      <c r="Q23" s="71"/>
      <c r="R23" s="71"/>
      <c r="S23" s="71"/>
      <c r="T23" s="71"/>
      <c r="U23" s="71"/>
      <c r="V23" s="71"/>
      <c r="W23" s="71"/>
      <c r="Y23" s="48" t="s">
        <v>91</v>
      </c>
      <c r="Z23" s="48" t="s">
        <v>35</v>
      </c>
      <c r="AA23" s="48" t="s">
        <v>122</v>
      </c>
      <c r="AB23" s="51">
        <f>數據!P22</f>
        <v>27.027000000000001</v>
      </c>
      <c r="AC23" s="86">
        <f>數據!P21</f>
        <v>25.367999999999999</v>
      </c>
      <c r="AD23" s="3" t="s">
        <v>81</v>
      </c>
      <c r="AE23" s="4" t="s">
        <v>97</v>
      </c>
      <c r="AF23" s="4" t="s">
        <v>134</v>
      </c>
      <c r="AG23" s="3">
        <f t="shared" si="1"/>
        <v>221</v>
      </c>
      <c r="AH23" s="3" t="s">
        <v>6</v>
      </c>
      <c r="AI23" s="71">
        <f>AG23*IF(AH23="G", 450, IF(AH23="D", 350, 0)) * IF(AF23="Y", 1.2, 1)*(INDEX(屬性克制表!$B$2:$T$20, MATCH(AE23, 屬性克制表!$A$2:$A$20, 0), MATCH($L$1, 屬性克制表!$B$1:$T$1, 0)) * INDEX(屬性克制表!$B$2:$T$20, MATCH(AE23, 屬性克制表!$A$2:$A$20, 0), MATCH($M$1, 屬性克制表!$B$1:$T$1, 0)))</f>
        <v>148512</v>
      </c>
      <c r="AJ23">
        <f>_xlfn.XLOOKUP(AD23, 數據!B$2:B$50, 數據!M$2:M$50)</f>
        <v>221</v>
      </c>
      <c r="AK23" s="48" t="s">
        <v>91</v>
      </c>
      <c r="AL23" s="74">
        <f>AB23/(INDEX(屬性克制表!$B$2:$T$20, MATCH($A$1, 屬性克制表!$A$2:$A$20, 0), MATCH(Z23, 屬性克制表!$B$1:$T$1, 0)) * INDEX(屬性克制表!$B$2:$T$20, MATCH($A$1, 屬性克制表!$A$2:$A$20, 0), MATCH(AA23, 屬性克制表!$B$1:$T$1, 0)))</f>
        <v>27.027000000000001</v>
      </c>
      <c r="AM23" s="48" t="s">
        <v>91</v>
      </c>
      <c r="AN23" s="56">
        <f>AB23/(INDEX(屬性克制表!$B$2:$T$20, MATCH($C$1, 屬性克制表!$A$2:$A$20, 0), MATCH(Z23, 屬性克制表!$B$1:$T$1, 0)) * INDEX(屬性克制表!$B$2:$T$20, MATCH($C$1, 屬性克制表!$A$2:$A$20, 0), MATCH(AA23, 屬性克制表!$B$1:$T$1, 0)))</f>
        <v>43.243200000000002</v>
      </c>
      <c r="AO23" s="48" t="s">
        <v>91</v>
      </c>
      <c r="AP23" s="56">
        <f>AB23/(INDEX(屬性克制表!$B$2:$T$20, MATCH($E$1, 屬性克制表!$A$2:$A$20, 0), MATCH(Z23, 屬性克制表!$B$1:$T$1, 0)) * INDEX(屬性克制表!$B$2:$T$20, MATCH($E$1, 屬性克制表!$A$2:$A$20, 0), MATCH(AA23, 屬性克制表!$B$1:$T$1, 0)))</f>
        <v>43.243200000000002</v>
      </c>
      <c r="AQ23" s="48" t="s">
        <v>91</v>
      </c>
      <c r="AR23" s="56">
        <f>AB23/(INDEX(屬性克制表!$B$2:$T$20, MATCH($G$1, 屬性克制表!$A$2:$A$20, 0), MATCH(Z23, 屬性克制表!$B$1:$T$1, 0)) * INDEX(屬性克制表!$B$2:$T$20, MATCH($G$1, 屬性克制表!$A$2:$A$20, 0), MATCH(AA23, 屬性克制表!$B$1:$T$1, 0)))</f>
        <v>27.027000000000001</v>
      </c>
    </row>
    <row r="24" spans="1:44">
      <c r="A24" s="81" t="str">
        <v>太陽伊布</v>
      </c>
      <c r="B24" s="83">
        <v>33.6</v>
      </c>
      <c r="C24" s="81" t="str">
        <v>武道熊師(連)</v>
      </c>
      <c r="D24" s="83">
        <v>28.2</v>
      </c>
      <c r="E24" s="81" t="str">
        <v>仙子伊布</v>
      </c>
      <c r="F24" s="83">
        <v>31.486000000000001</v>
      </c>
      <c r="G24" s="81" t="str">
        <v>仙子伊布</v>
      </c>
      <c r="H24" s="83">
        <v>31.486000000000001</v>
      </c>
      <c r="I24" s="76"/>
      <c r="J24" s="48" t="str">
        <v>戰弦蠑螈</v>
      </c>
      <c r="K24" s="48" t="str">
        <v>毒</v>
      </c>
      <c r="L24" s="48" t="str">
        <v>Y</v>
      </c>
      <c r="M24" s="48">
        <v>188</v>
      </c>
      <c r="N24" s="48" t="str">
        <v>D</v>
      </c>
      <c r="O24" s="79">
        <v>126336</v>
      </c>
      <c r="P24" s="91">
        <f t="shared" si="2"/>
        <v>0.57881773399014769</v>
      </c>
      <c r="Q24" s="71"/>
      <c r="R24" s="71"/>
      <c r="S24" s="71"/>
      <c r="T24" s="71"/>
      <c r="U24" s="71"/>
      <c r="V24" s="71"/>
      <c r="W24" s="71"/>
      <c r="Y24" s="48" t="s">
        <v>57</v>
      </c>
      <c r="Z24" s="48" t="s">
        <v>42</v>
      </c>
      <c r="AA24" s="48" t="s">
        <v>43</v>
      </c>
      <c r="AB24" s="51">
        <f>數據!P23</f>
        <v>23.797999999999998</v>
      </c>
      <c r="AC24" s="86">
        <f>數據!P22</f>
        <v>27.027000000000001</v>
      </c>
      <c r="AD24" s="3" t="s">
        <v>81</v>
      </c>
      <c r="AE24" s="4" t="s">
        <v>45</v>
      </c>
      <c r="AF24" s="4" t="s">
        <v>134</v>
      </c>
      <c r="AG24" s="3">
        <f t="shared" si="1"/>
        <v>221</v>
      </c>
      <c r="AH24" s="3" t="s">
        <v>6</v>
      </c>
      <c r="AI24" s="71">
        <f>AG24*IF(AH24="G", 450, IF(AH24="D", 350, 0)) * IF(AF24="Y", 1.2, 1)*(INDEX(屬性克制表!$B$2:$T$20, MATCH(AE24, 屬性克制表!$A$2:$A$20, 0), MATCH($L$1, 屬性克制表!$B$1:$T$1, 0)) * INDEX(屬性克制表!$B$2:$T$20, MATCH(AE24, 屬性克制表!$A$2:$A$20, 0), MATCH($M$1, 屬性克制表!$B$1:$T$1, 0)))</f>
        <v>92820</v>
      </c>
      <c r="AJ24">
        <f>_xlfn.XLOOKUP(AD24, 數據!B$2:B$50, 數據!M$2:M$50)</f>
        <v>221</v>
      </c>
      <c r="AK24" s="48" t="s">
        <v>57</v>
      </c>
      <c r="AL24" s="74">
        <f>AB24/(INDEX(屬性克制表!$B$2:$T$20, MATCH($A$1, 屬性克制表!$A$2:$A$20, 0), MATCH(Z24, 屬性克制表!$B$1:$T$1, 0)) * INDEX(屬性克制表!$B$2:$T$20, MATCH($A$1, 屬性克制表!$A$2:$A$20, 0), MATCH(AA24, 屬性克制表!$B$1:$T$1, 0)))</f>
        <v>38.076799999999999</v>
      </c>
      <c r="AM24" s="48" t="s">
        <v>57</v>
      </c>
      <c r="AN24" s="56">
        <f>AB24/(INDEX(屬性克制表!$B$2:$T$20, MATCH($C$1, 屬性克制表!$A$2:$A$20, 0), MATCH(Z24, 屬性克制表!$B$1:$T$1, 0)) * INDEX(屬性克制表!$B$2:$T$20, MATCH($C$1, 屬性克制表!$A$2:$A$20, 0), MATCH(AA24, 屬性克制表!$B$1:$T$1, 0)))</f>
        <v>38.040281329923268</v>
      </c>
      <c r="AO24" s="48" t="s">
        <v>57</v>
      </c>
      <c r="AP24" s="56">
        <f>AB24/(INDEX(屬性克制表!$B$2:$T$20, MATCH($E$1, 屬性克制表!$A$2:$A$20, 0), MATCH(Z24, 屬性克制表!$B$1:$T$1, 0)) * INDEX(屬性克制表!$B$2:$T$20, MATCH($E$1, 屬性克制表!$A$2:$A$20, 0), MATCH(AA24, 屬性克制表!$B$1:$T$1, 0)))</f>
        <v>14.873749999999998</v>
      </c>
      <c r="AQ24" s="48" t="s">
        <v>57</v>
      </c>
      <c r="AR24" s="56">
        <f>AB24/(INDEX(屬性克制表!$B$2:$T$20, MATCH($G$1, 屬性克制表!$A$2:$A$20, 0), MATCH(Z24, 屬性克制表!$B$1:$T$1, 0)) * INDEX(屬性克制表!$B$2:$T$20, MATCH($G$1, 屬性克制表!$A$2:$A$20, 0), MATCH(AA24, 屬性克制表!$B$1:$T$1, 0)))</f>
        <v>38.076799999999999</v>
      </c>
    </row>
    <row r="25" spans="1:44">
      <c r="A25" s="81" t="str">
        <v>水伊布</v>
      </c>
      <c r="B25" s="83">
        <v>31.97</v>
      </c>
      <c r="C25" s="81" t="str">
        <v>武道熊師(一)</v>
      </c>
      <c r="D25" s="83">
        <v>28.2</v>
      </c>
      <c r="E25" s="81" t="str">
        <v>鋼鎧鴉</v>
      </c>
      <c r="F25" s="83">
        <v>31.35</v>
      </c>
      <c r="G25" s="81" t="str">
        <v>狒狒達摩</v>
      </c>
      <c r="H25" s="83">
        <v>30.880000000000003</v>
      </c>
      <c r="I25" s="76"/>
      <c r="J25" s="48" t="str">
        <v>噴火龍</v>
      </c>
      <c r="K25" s="48" t="str">
        <v>火</v>
      </c>
      <c r="L25" s="48" t="str">
        <v>Y</v>
      </c>
      <c r="M25" s="48">
        <v>187</v>
      </c>
      <c r="N25" s="48" t="str">
        <v>D</v>
      </c>
      <c r="O25" s="79">
        <v>125664</v>
      </c>
      <c r="P25" s="91">
        <f t="shared" si="2"/>
        <v>0.57573891625615758</v>
      </c>
      <c r="Q25" s="71"/>
      <c r="R25" s="71"/>
      <c r="S25" s="71"/>
      <c r="T25" s="71"/>
      <c r="U25" s="71"/>
      <c r="V25" s="71"/>
      <c r="W25" s="71"/>
      <c r="Y25" s="48" t="s">
        <v>66</v>
      </c>
      <c r="Z25" s="48" t="s">
        <v>70</v>
      </c>
      <c r="AA25" s="48" t="s">
        <v>122</v>
      </c>
      <c r="AB25" s="51">
        <f>數據!P24</f>
        <v>24.103999999999999</v>
      </c>
      <c r="AC25" s="86">
        <f>數據!P23</f>
        <v>23.797999999999998</v>
      </c>
      <c r="AD25" s="48" t="s">
        <v>65</v>
      </c>
      <c r="AE25" s="3" t="s">
        <v>100</v>
      </c>
      <c r="AF25" s="3" t="s">
        <v>134</v>
      </c>
      <c r="AG25" s="3">
        <f t="shared" si="1"/>
        <v>218</v>
      </c>
      <c r="AH25" s="7" t="s">
        <v>6</v>
      </c>
      <c r="AI25" s="71">
        <f>AG25*IF(AH25="G", 450, IF(AH25="D", 350, 0)) * IF(AF25="Y", 1.2, 1)*(INDEX(屬性克制表!$B$2:$T$20, MATCH(AE25, 屬性克制表!$A$2:$A$20, 0), MATCH($L$1, 屬性克制表!$B$1:$T$1, 0)) * INDEX(屬性克制表!$B$2:$T$20, MATCH(AE25, 屬性克制表!$A$2:$A$20, 0), MATCH($M$1, 屬性克制表!$B$1:$T$1, 0)))</f>
        <v>146496</v>
      </c>
      <c r="AJ25">
        <f>_xlfn.XLOOKUP(AD25, 數據!B$2:B$50, 數據!M$2:M$50)</f>
        <v>218</v>
      </c>
      <c r="AK25" s="48" t="s">
        <v>66</v>
      </c>
      <c r="AL25" s="74">
        <f>AB25/(INDEX(屬性克制表!$B$2:$T$20, MATCH($A$1, 屬性克制表!$A$2:$A$20, 0), MATCH(Z25, 屬性克制表!$B$1:$T$1, 0)) * INDEX(屬性克制表!$B$2:$T$20, MATCH($A$1, 屬性克制表!$A$2:$A$20, 0), MATCH(AA25, 屬性克制表!$B$1:$T$1, 0)))</f>
        <v>24.103999999999999</v>
      </c>
      <c r="AM25" s="48" t="s">
        <v>66</v>
      </c>
      <c r="AN25" s="56">
        <f>AB25/(INDEX(屬性克制表!$B$2:$T$20, MATCH($C$1, 屬性克制表!$A$2:$A$20, 0), MATCH(Z25, 屬性克制表!$B$1:$T$1, 0)) * INDEX(屬性克制表!$B$2:$T$20, MATCH($C$1, 屬性克制表!$A$2:$A$20, 0), MATCH(AA25, 屬性克制表!$B$1:$T$1, 0)))</f>
        <v>24.103999999999999</v>
      </c>
      <c r="AO25" s="48" t="s">
        <v>66</v>
      </c>
      <c r="AP25" s="56">
        <f>AB25/(INDEX(屬性克制表!$B$2:$T$20, MATCH($E$1, 屬性克制表!$A$2:$A$20, 0), MATCH(Z25, 屬性克制表!$B$1:$T$1, 0)) * INDEX(屬性克制表!$B$2:$T$20, MATCH($E$1, 屬性克制表!$A$2:$A$20, 0), MATCH(AA25, 屬性克制表!$B$1:$T$1, 0)))</f>
        <v>24.103999999999999</v>
      </c>
      <c r="AQ25" s="48" t="s">
        <v>66</v>
      </c>
      <c r="AR25" s="56">
        <f>AB25/(INDEX(屬性克制表!$B$2:$T$20, MATCH($G$1, 屬性克制表!$A$2:$A$20, 0), MATCH(Z25, 屬性克制表!$B$1:$T$1, 0)) * INDEX(屬性克制表!$B$2:$T$20, MATCH($G$1, 屬性克制表!$A$2:$A$20, 0), MATCH(AA25, 屬性克制表!$B$1:$T$1, 0)))</f>
        <v>24.103999999999999</v>
      </c>
    </row>
    <row r="26" spans="1:44">
      <c r="A26" s="81" t="str">
        <v>鋼鎧鴉</v>
      </c>
      <c r="B26" s="83">
        <v>31.35</v>
      </c>
      <c r="C26" s="81" t="str">
        <v>水箭龜</v>
      </c>
      <c r="D26" s="83">
        <v>27.824999999999999</v>
      </c>
      <c r="E26" s="81" t="str">
        <v>巨鉗蟹</v>
      </c>
      <c r="F26" s="83">
        <v>31.089600000000001</v>
      </c>
      <c r="G26" s="81" t="str">
        <v>急凍鳥</v>
      </c>
      <c r="H26" s="83">
        <v>30.504000000000001</v>
      </c>
      <c r="I26" s="76"/>
      <c r="J26" s="48" t="str">
        <v>蒼響</v>
      </c>
      <c r="K26" s="48" t="str">
        <v>鋼</v>
      </c>
      <c r="L26" s="48" t="str">
        <v>Y</v>
      </c>
      <c r="M26" s="48">
        <v>291</v>
      </c>
      <c r="N26" s="48" t="str">
        <v>D</v>
      </c>
      <c r="O26" s="79">
        <v>122220</v>
      </c>
      <c r="P26" s="91">
        <f t="shared" si="2"/>
        <v>0.55995997536945807</v>
      </c>
      <c r="Q26" s="71"/>
      <c r="R26" s="71"/>
      <c r="S26" s="71"/>
      <c r="T26" s="71"/>
      <c r="U26" s="71"/>
      <c r="V26" s="71"/>
      <c r="W26" s="71"/>
      <c r="Y26" s="48" t="s">
        <v>33</v>
      </c>
      <c r="Z26" s="48" t="s">
        <v>35</v>
      </c>
      <c r="AA26" s="48" t="s">
        <v>80</v>
      </c>
      <c r="AB26" s="51">
        <f>數據!P25</f>
        <v>23.712</v>
      </c>
      <c r="AC26" s="86">
        <f>數據!P24</f>
        <v>24.103999999999999</v>
      </c>
      <c r="AD26" s="3" t="s">
        <v>48</v>
      </c>
      <c r="AE26" s="4" t="s">
        <v>72</v>
      </c>
      <c r="AF26" s="4" t="s">
        <v>134</v>
      </c>
      <c r="AG26" s="3">
        <f t="shared" si="1"/>
        <v>223</v>
      </c>
      <c r="AH26" s="3" t="s">
        <v>6</v>
      </c>
      <c r="AI26" s="71">
        <f>AG26*IF(AH26="G", 450, IF(AH26="D", 350, 0)) * IF(AF26="Y", 1.2, 1)*(INDEX(屬性克制表!$B$2:$T$20, MATCH(AE26, 屬性克制表!$A$2:$A$20, 0), MATCH($L$1, 屬性克制表!$B$1:$T$1, 0)) * INDEX(屬性克制表!$B$2:$T$20, MATCH(AE26, 屬性克制表!$A$2:$A$20, 0), MATCH($M$1, 屬性克制表!$B$1:$T$1, 0)))</f>
        <v>93660</v>
      </c>
      <c r="AJ26">
        <f>_xlfn.XLOOKUP(AD26, 數據!B$2:B$50, 數據!M$2:M$50)</f>
        <v>223</v>
      </c>
      <c r="AK26" s="48" t="s">
        <v>33</v>
      </c>
      <c r="AL26" s="74">
        <f>AB26/(INDEX(屬性克制表!$B$2:$T$20, MATCH($A$1, 屬性克制表!$A$2:$A$20, 0), MATCH(Z26, 屬性克制表!$B$1:$T$1, 0)) * INDEX(屬性克制表!$B$2:$T$20, MATCH($A$1, 屬性克制表!$A$2:$A$20, 0), MATCH(AA26, 屬性克制表!$B$1:$T$1, 0)))</f>
        <v>37.9392</v>
      </c>
      <c r="AM26" s="48" t="s">
        <v>33</v>
      </c>
      <c r="AN26" s="56">
        <f>AB26/(INDEX(屬性克制表!$B$2:$T$20, MATCH($C$1, 屬性克制表!$A$2:$A$20, 0), MATCH(Z26, 屬性克制表!$B$1:$T$1, 0)) * INDEX(屬性克制表!$B$2:$T$20, MATCH($C$1, 屬性克制表!$A$2:$A$20, 0), MATCH(AA26, 屬性克制表!$B$1:$T$1, 0)))</f>
        <v>23.712</v>
      </c>
      <c r="AO26" s="48" t="s">
        <v>33</v>
      </c>
      <c r="AP26" s="56">
        <f>AB26/(INDEX(屬性克制表!$B$2:$T$20, MATCH($E$1, 屬性克制表!$A$2:$A$20, 0), MATCH(Z26, 屬性克制表!$B$1:$T$1, 0)) * INDEX(屬性克制表!$B$2:$T$20, MATCH($E$1, 屬性克制表!$A$2:$A$20, 0), MATCH(AA26, 屬性克制表!$B$1:$T$1, 0)))</f>
        <v>37.9392</v>
      </c>
      <c r="AQ26" s="48" t="s">
        <v>33</v>
      </c>
      <c r="AR26" s="56">
        <f>AB26/(INDEX(屬性克制表!$B$2:$T$20, MATCH($G$1, 屬性克制表!$A$2:$A$20, 0), MATCH(Z26, 屬性克制表!$B$1:$T$1, 0)) * INDEX(屬性克制表!$B$2:$T$20, MATCH($G$1, 屬性克制表!$A$2:$A$20, 0), MATCH(AA26, 屬性克制表!$B$1:$T$1, 0)))</f>
        <v>37.9392</v>
      </c>
    </row>
    <row r="27" spans="1:44">
      <c r="A27" s="81" t="str">
        <v>急凍鳥</v>
      </c>
      <c r="B27" s="83">
        <v>30.504000000000001</v>
      </c>
      <c r="C27" s="81" t="str">
        <v>拉帝歐斯</v>
      </c>
      <c r="D27" s="83">
        <v>27.808</v>
      </c>
      <c r="E27" s="81" t="str">
        <v>急凍鳥</v>
      </c>
      <c r="F27" s="83">
        <v>30.504000000000001</v>
      </c>
      <c r="G27" s="81" t="str">
        <v>戰弦蠑螈</v>
      </c>
      <c r="H27" s="83">
        <v>29.814399999999999</v>
      </c>
      <c r="I27" s="76"/>
      <c r="J27" s="48" t="str">
        <v>拉普拉斯</v>
      </c>
      <c r="K27" s="48" t="str">
        <v>冰</v>
      </c>
      <c r="L27" s="48" t="str">
        <v>Y</v>
      </c>
      <c r="M27" s="48">
        <v>141</v>
      </c>
      <c r="N27" s="48" t="str">
        <v>G</v>
      </c>
      <c r="O27" s="79">
        <v>121824</v>
      </c>
      <c r="P27" s="91">
        <f t="shared" si="2"/>
        <v>0.55814567206192811</v>
      </c>
      <c r="Q27" s="71"/>
      <c r="R27" s="71"/>
      <c r="S27" s="71"/>
      <c r="T27" s="71"/>
      <c r="U27" s="71"/>
      <c r="V27" s="71"/>
      <c r="W27" s="71"/>
      <c r="Y27" s="48" t="s">
        <v>68</v>
      </c>
      <c r="Z27" s="48" t="s">
        <v>74</v>
      </c>
      <c r="AA27" s="48" t="s">
        <v>122</v>
      </c>
      <c r="AB27" s="51">
        <f>數據!P26</f>
        <v>24.882999999999999</v>
      </c>
      <c r="AC27" s="86">
        <f>數據!P25</f>
        <v>23.712</v>
      </c>
      <c r="AD27" s="3" t="s">
        <v>51</v>
      </c>
      <c r="AE27" s="4" t="s">
        <v>97</v>
      </c>
      <c r="AF27" s="4" t="s">
        <v>134</v>
      </c>
      <c r="AG27" s="3">
        <f t="shared" si="1"/>
        <v>214</v>
      </c>
      <c r="AH27" s="3" t="s">
        <v>6</v>
      </c>
      <c r="AI27" s="71">
        <f>AG27*IF(AH27="G", 450, IF(AH27="D", 350, 0)) * IF(AF27="Y", 1.2, 1)*(INDEX(屬性克制表!$B$2:$T$20, MATCH(AE27, 屬性克制表!$A$2:$A$20, 0), MATCH($L$1, 屬性克制表!$B$1:$T$1, 0)) * INDEX(屬性克制表!$B$2:$T$20, MATCH(AE27, 屬性克制表!$A$2:$A$20, 0), MATCH($M$1, 屬性克制表!$B$1:$T$1, 0)))</f>
        <v>143808</v>
      </c>
      <c r="AJ27">
        <f>_xlfn.XLOOKUP(AD27, 數據!B$2:B$50, 數據!M$2:M$50)</f>
        <v>214</v>
      </c>
      <c r="AK27" s="48" t="s">
        <v>68</v>
      </c>
      <c r="AL27" s="74">
        <f>AB27/(INDEX(屬性克制表!$B$2:$T$20, MATCH($A$1, 屬性克制表!$A$2:$A$20, 0), MATCH(Z27, 屬性克制表!$B$1:$T$1, 0)) * INDEX(屬性克制表!$B$2:$T$20, MATCH($A$1, 屬性克制表!$A$2:$A$20, 0), MATCH(AA27, 屬性克制表!$B$1:$T$1, 0)))</f>
        <v>15.551874999999999</v>
      </c>
      <c r="AM27" s="48" t="s">
        <v>68</v>
      </c>
      <c r="AN27" s="56">
        <f>AB27/(INDEX(屬性克制表!$B$2:$T$20, MATCH($C$1, 屬性克制表!$A$2:$A$20, 0), MATCH(Z27, 屬性克制表!$B$1:$T$1, 0)) * INDEX(屬性克制表!$B$2:$T$20, MATCH($C$1, 屬性克制表!$A$2:$A$20, 0), MATCH(AA27, 屬性克制表!$B$1:$T$1, 0)))</f>
        <v>24.882999999999999</v>
      </c>
      <c r="AO27" s="48" t="s">
        <v>68</v>
      </c>
      <c r="AP27" s="56">
        <f>AB27/(INDEX(屬性克制表!$B$2:$T$20, MATCH($E$1, 屬性克制表!$A$2:$A$20, 0), MATCH(Z27, 屬性克制表!$B$1:$T$1, 0)) * INDEX(屬性克制表!$B$2:$T$20, MATCH($E$1, 屬性克制表!$A$2:$A$20, 0), MATCH(AA27, 屬性克制表!$B$1:$T$1, 0)))</f>
        <v>24.882999999999999</v>
      </c>
      <c r="AQ27" s="48" t="s">
        <v>68</v>
      </c>
      <c r="AR27" s="56">
        <f>AB27/(INDEX(屬性克制表!$B$2:$T$20, MATCH($G$1, 屬性克制表!$A$2:$A$20, 0), MATCH(Z27, 屬性克制表!$B$1:$T$1, 0)) * INDEX(屬性克制表!$B$2:$T$20, MATCH($G$1, 屬性克制表!$A$2:$A$20, 0), MATCH(AA27, 屬性克制表!$B$1:$T$1, 0)))</f>
        <v>24.882999999999999</v>
      </c>
    </row>
    <row r="28" spans="1:44">
      <c r="A28" s="81" t="str">
        <v>巨金怪</v>
      </c>
      <c r="B28" s="83">
        <v>30.428999999999998</v>
      </c>
      <c r="C28" s="81" t="str">
        <v>藏瑪然特</v>
      </c>
      <c r="D28" s="83">
        <v>26.918749999999999</v>
      </c>
      <c r="E28" s="81" t="str">
        <v>巨金怪</v>
      </c>
      <c r="F28" s="83">
        <v>30.428999999999998</v>
      </c>
      <c r="G28" s="81" t="str">
        <v>藏飽栗鼠</v>
      </c>
      <c r="H28" s="83">
        <v>29.295000000000002</v>
      </c>
      <c r="I28" s="76"/>
      <c r="J28" s="48" t="str">
        <v>耿鬼</v>
      </c>
      <c r="K28" s="48" t="str">
        <v>幽靈</v>
      </c>
      <c r="L28" s="48" t="str">
        <v>Y</v>
      </c>
      <c r="M28" s="48">
        <v>223</v>
      </c>
      <c r="N28" s="48" t="str">
        <v>G</v>
      </c>
      <c r="O28" s="79">
        <v>120420</v>
      </c>
      <c r="P28" s="91">
        <f t="shared" si="2"/>
        <v>0.55171314215341305</v>
      </c>
      <c r="Q28" s="71"/>
      <c r="R28" s="71"/>
      <c r="S28" s="71"/>
      <c r="T28" s="71"/>
      <c r="U28" s="71"/>
      <c r="V28" s="71"/>
      <c r="W28" s="71"/>
      <c r="Y28" s="48" t="s">
        <v>84</v>
      </c>
      <c r="Z28" s="48" t="s">
        <v>38</v>
      </c>
      <c r="AA28" s="48" t="s">
        <v>36</v>
      </c>
      <c r="AB28" s="51">
        <f>數據!P27</f>
        <v>25.456</v>
      </c>
      <c r="AC28" s="86">
        <f>數據!P26</f>
        <v>24.882999999999999</v>
      </c>
      <c r="AD28" s="3" t="s">
        <v>51</v>
      </c>
      <c r="AE28" s="4" t="s">
        <v>71</v>
      </c>
      <c r="AF28" s="4" t="s">
        <v>134</v>
      </c>
      <c r="AG28" s="3">
        <f t="shared" si="1"/>
        <v>214</v>
      </c>
      <c r="AH28" s="3" t="s">
        <v>6</v>
      </c>
      <c r="AI28" s="71">
        <f>AG28*IF(AH28="G", 450, IF(AH28="D", 350, 0)) * IF(AF28="Y", 1.2, 1)*(INDEX(屬性克制表!$B$2:$T$20, MATCH(AE28, 屬性克制表!$A$2:$A$20, 0), MATCH($L$1, 屬性克制表!$B$1:$T$1, 0)) * INDEX(屬性克制表!$B$2:$T$20, MATCH(AE28, 屬性克制表!$A$2:$A$20, 0), MATCH($M$1, 屬性克制表!$B$1:$T$1, 0)))</f>
        <v>89880</v>
      </c>
      <c r="AJ28">
        <f>_xlfn.XLOOKUP(AD28, 數據!B$2:B$50, 數據!M$2:M$50)</f>
        <v>214</v>
      </c>
      <c r="AK28" s="48" t="s">
        <v>84</v>
      </c>
      <c r="AL28" s="74">
        <f>AB28/(INDEX(屬性克制表!$B$2:$T$20, MATCH($A$1, 屬性克制表!$A$2:$A$20, 0), MATCH(Z28, 屬性克制表!$B$1:$T$1, 0)) * INDEX(屬性克制表!$B$2:$T$20, MATCH($A$1, 屬性克制表!$A$2:$A$20, 0), MATCH(AA28, 屬性克制表!$B$1:$T$1, 0)))</f>
        <v>15.909999999999998</v>
      </c>
      <c r="AM28" s="48" t="s">
        <v>84</v>
      </c>
      <c r="AN28" s="56">
        <f>AB28/(INDEX(屬性克制表!$B$2:$T$20, MATCH($C$1, 屬性克制表!$A$2:$A$20, 0), MATCH(Z28, 屬性克制表!$B$1:$T$1, 0)) * INDEX(屬性克制表!$B$2:$T$20, MATCH($C$1, 屬性克制表!$A$2:$A$20, 0), MATCH(AA28, 屬性克制表!$B$1:$T$1, 0)))</f>
        <v>15.909999999999998</v>
      </c>
      <c r="AO28" s="48" t="s">
        <v>84</v>
      </c>
      <c r="AP28" s="56">
        <f>AB28/(INDEX(屬性克制表!$B$2:$T$20, MATCH($E$1, 屬性克制表!$A$2:$A$20, 0), MATCH(Z28, 屬性克制表!$B$1:$T$1, 0)) * INDEX(屬性克制表!$B$2:$T$20, MATCH($E$1, 屬性克制表!$A$2:$A$20, 0), MATCH(AA28, 屬性克制表!$B$1:$T$1, 0)))</f>
        <v>25.456</v>
      </c>
      <c r="AQ28" s="48" t="s">
        <v>84</v>
      </c>
      <c r="AR28" s="56">
        <f>AB28/(INDEX(屬性克制表!$B$2:$T$20, MATCH($G$1, 屬性克制表!$A$2:$A$20, 0), MATCH(Z28, 屬性克制表!$B$1:$T$1, 0)) * INDEX(屬性克制表!$B$2:$T$20, MATCH($G$1, 屬性克制表!$A$2:$A$20, 0), MATCH(AA28, 屬性克制表!$B$1:$T$1, 0)))</f>
        <v>25.456</v>
      </c>
    </row>
    <row r="29" spans="1:44">
      <c r="A29" s="81" t="str">
        <v>戰弦蠑螈</v>
      </c>
      <c r="B29" s="83">
        <v>29.814399999999999</v>
      </c>
      <c r="C29" s="81" t="str">
        <v>幾何雪花</v>
      </c>
      <c r="D29" s="83">
        <v>26.295999999999999</v>
      </c>
      <c r="E29" s="81" t="str">
        <v>藏飽栗鼠</v>
      </c>
      <c r="F29" s="83">
        <v>29.295000000000002</v>
      </c>
      <c r="G29" s="81" t="str">
        <v>耿鬼</v>
      </c>
      <c r="H29" s="83">
        <v>29.1584</v>
      </c>
      <c r="I29" s="76"/>
      <c r="J29" s="48" t="str">
        <v>炎帝</v>
      </c>
      <c r="K29" s="48" t="str">
        <v>火</v>
      </c>
      <c r="L29" s="48" t="str">
        <v>Y</v>
      </c>
      <c r="M29" s="48">
        <v>175</v>
      </c>
      <c r="N29" s="48" t="str">
        <v>D</v>
      </c>
      <c r="O29" s="79">
        <v>117600</v>
      </c>
      <c r="P29" s="91">
        <f t="shared" si="2"/>
        <v>0.5387931034482758</v>
      </c>
      <c r="Q29" s="71"/>
      <c r="R29" s="71"/>
      <c r="S29" s="71"/>
      <c r="T29" s="71"/>
      <c r="U29" s="71"/>
      <c r="V29" s="71"/>
      <c r="W29" s="71"/>
      <c r="Y29" s="48" t="s">
        <v>49</v>
      </c>
      <c r="Z29" s="48" t="s">
        <v>38</v>
      </c>
      <c r="AA29" s="48" t="s">
        <v>46</v>
      </c>
      <c r="AB29" s="51">
        <f>數據!P28</f>
        <v>33.659999999999997</v>
      </c>
      <c r="AC29" s="86">
        <f>數據!P27</f>
        <v>25.456</v>
      </c>
      <c r="AD29" s="4" t="s">
        <v>59</v>
      </c>
      <c r="AE29" s="4" t="s">
        <v>73</v>
      </c>
      <c r="AF29" s="4" t="s">
        <v>134</v>
      </c>
      <c r="AG29" s="3">
        <f t="shared" si="1"/>
        <v>217</v>
      </c>
      <c r="AH29" s="4" t="s">
        <v>6</v>
      </c>
      <c r="AI29" s="71">
        <f>AG29*IF(AH29="G", 450, IF(AH29="D", 350, 0)) * IF(AF29="Y", 1.2, 1)*(INDEX(屬性克制表!$B$2:$T$20, MATCH(AE29, 屬性克制表!$A$2:$A$20, 0), MATCH($L$1, 屬性克制表!$B$1:$T$1, 0)) * INDEX(屬性克制表!$B$2:$T$20, MATCH(AE29, 屬性克制表!$A$2:$A$20, 0), MATCH($M$1, 屬性克制表!$B$1:$T$1, 0)))</f>
        <v>56962.5</v>
      </c>
      <c r="AJ29">
        <f>_xlfn.XLOOKUP(AD29, 數據!B$2:B$50, 數據!M$2:M$50)</f>
        <v>217</v>
      </c>
      <c r="AK29" s="48" t="s">
        <v>49</v>
      </c>
      <c r="AL29" s="74">
        <f>AB29/(INDEX(屬性克制表!$B$2:$T$20, MATCH($A$1, 屬性克制表!$A$2:$A$20, 0), MATCH(Z29, 屬性克制表!$B$1:$T$1, 0)) * INDEX(屬性克制表!$B$2:$T$20, MATCH($A$1, 屬性克制表!$A$2:$A$20, 0), MATCH(AA29, 屬性克制表!$B$1:$T$1, 0)))</f>
        <v>33.659999999999997</v>
      </c>
      <c r="AM29" s="48" t="s">
        <v>49</v>
      </c>
      <c r="AN29" s="56">
        <f>AB29/(INDEX(屬性克制表!$B$2:$T$20, MATCH($C$1, 屬性克制表!$A$2:$A$20, 0), MATCH(Z29, 屬性克制表!$B$1:$T$1, 0)) * INDEX(屬性克制表!$B$2:$T$20, MATCH($C$1, 屬性克制表!$A$2:$A$20, 0), MATCH(AA29, 屬性克制表!$B$1:$T$1, 0)))</f>
        <v>33.659999999999997</v>
      </c>
      <c r="AO29" s="48" t="s">
        <v>49</v>
      </c>
      <c r="AP29" s="56">
        <f>AB29/(INDEX(屬性克制表!$B$2:$T$20, MATCH($E$1, 屬性克制表!$A$2:$A$20, 0), MATCH(Z29, 屬性克制表!$B$1:$T$1, 0)) * INDEX(屬性克制表!$B$2:$T$20, MATCH($E$1, 屬性克制表!$A$2:$A$20, 0), MATCH(AA29, 屬性克制表!$B$1:$T$1, 0)))</f>
        <v>21.037499999999998</v>
      </c>
      <c r="AQ29" s="48" t="s">
        <v>49</v>
      </c>
      <c r="AR29" s="56">
        <f>AB29/(INDEX(屬性克制表!$B$2:$T$20, MATCH($G$1, 屬性克制表!$A$2:$A$20, 0), MATCH(Z29, 屬性克制表!$B$1:$T$1, 0)) * INDEX(屬性克制表!$B$2:$T$20, MATCH($G$1, 屬性克制表!$A$2:$A$20, 0), MATCH(AA29, 屬性克制表!$B$1:$T$1, 0)))</f>
        <v>33.659999999999997</v>
      </c>
    </row>
    <row r="30" spans="1:44">
      <c r="A30" s="81" t="str">
        <v>胡地</v>
      </c>
      <c r="B30" s="83">
        <v>29.2608</v>
      </c>
      <c r="C30" s="81" t="str">
        <v>怪力</v>
      </c>
      <c r="D30" s="83">
        <v>25.38</v>
      </c>
      <c r="E30" s="81" t="str">
        <v>千面避役</v>
      </c>
      <c r="F30" s="83">
        <v>28.929600000000001</v>
      </c>
      <c r="G30" s="81" t="str">
        <v>武道熊師(連)</v>
      </c>
      <c r="H30" s="83">
        <v>28.2</v>
      </c>
      <c r="I30" s="76"/>
      <c r="J30" s="48" t="str">
        <v>洛奇亞</v>
      </c>
      <c r="K30" s="48" t="str">
        <v>超能力</v>
      </c>
      <c r="L30" s="48" t="str">
        <v>Y</v>
      </c>
      <c r="M30" s="48">
        <v>164</v>
      </c>
      <c r="N30" s="48" t="str">
        <v>D</v>
      </c>
      <c r="O30" s="79">
        <v>110208</v>
      </c>
      <c r="P30" s="91">
        <f t="shared" si="2"/>
        <v>0.50492610837438412</v>
      </c>
      <c r="Q30" s="71"/>
      <c r="R30" s="71"/>
      <c r="S30" s="71"/>
      <c r="T30" s="71"/>
      <c r="U30" s="71"/>
      <c r="V30" s="71"/>
      <c r="W30" s="71"/>
      <c r="Y30" s="48" t="s">
        <v>62</v>
      </c>
      <c r="Z30" s="48" t="s">
        <v>70</v>
      </c>
      <c r="AA30" s="48" t="s">
        <v>122</v>
      </c>
      <c r="AB30" s="51">
        <f>數據!P29</f>
        <v>25.38</v>
      </c>
      <c r="AC30" s="86">
        <f>數據!P28</f>
        <v>33.659999999999997</v>
      </c>
      <c r="AD30" s="3" t="s">
        <v>59</v>
      </c>
      <c r="AE30" s="4" t="s">
        <v>71</v>
      </c>
      <c r="AF30" s="4" t="s">
        <v>134</v>
      </c>
      <c r="AG30" s="3">
        <f t="shared" si="1"/>
        <v>217</v>
      </c>
      <c r="AH30" s="3" t="s">
        <v>6</v>
      </c>
      <c r="AI30" s="71">
        <f>AG30*IF(AH30="G", 450, IF(AH30="D", 350, 0)) * IF(AF30="Y", 1.2, 1)*(INDEX(屬性克制表!$B$2:$T$20, MATCH(AE30, 屬性克制表!$A$2:$A$20, 0), MATCH($L$1, 屬性克制表!$B$1:$T$1, 0)) * INDEX(屬性克制表!$B$2:$T$20, MATCH(AE30, 屬性克制表!$A$2:$A$20, 0), MATCH($M$1, 屬性克制表!$B$1:$T$1, 0)))</f>
        <v>91140</v>
      </c>
      <c r="AJ30">
        <f>_xlfn.XLOOKUP(AD30, 數據!B$2:B$50, 數據!M$2:M$50)</f>
        <v>217</v>
      </c>
      <c r="AK30" s="48" t="s">
        <v>62</v>
      </c>
      <c r="AL30" s="74">
        <f>AB30/(INDEX(屬性克制表!$B$2:$T$20, MATCH($A$1, 屬性克制表!$A$2:$A$20, 0), MATCH(Z30, 屬性克制表!$B$1:$T$1, 0)) * INDEX(屬性克制表!$B$2:$T$20, MATCH($A$1, 屬性克制表!$A$2:$A$20, 0), MATCH(AA30, 屬性克制表!$B$1:$T$1, 0)))</f>
        <v>25.38</v>
      </c>
      <c r="AM30" s="48" t="s">
        <v>62</v>
      </c>
      <c r="AN30" s="56">
        <f>AB30/(INDEX(屬性克制表!$B$2:$T$20, MATCH($C$1, 屬性克制表!$A$2:$A$20, 0), MATCH(Z30, 屬性克制表!$B$1:$T$1, 0)) * INDEX(屬性克制表!$B$2:$T$20, MATCH($C$1, 屬性克制表!$A$2:$A$20, 0), MATCH(AA30, 屬性克制表!$B$1:$T$1, 0)))</f>
        <v>25.38</v>
      </c>
      <c r="AO30" s="48" t="s">
        <v>62</v>
      </c>
      <c r="AP30" s="56">
        <f>AB30/(INDEX(屬性克制表!$B$2:$T$20, MATCH($E$1, 屬性克制表!$A$2:$A$20, 0), MATCH(Z30, 屬性克制表!$B$1:$T$1, 0)) * INDEX(屬性克制表!$B$2:$T$20, MATCH($E$1, 屬性克制表!$A$2:$A$20, 0), MATCH(AA30, 屬性克制表!$B$1:$T$1, 0)))</f>
        <v>25.38</v>
      </c>
      <c r="AQ30" s="48" t="s">
        <v>62</v>
      </c>
      <c r="AR30" s="56">
        <f>AB30/(INDEX(屬性克制表!$B$2:$T$20, MATCH($G$1, 屬性克制表!$A$2:$A$20, 0), MATCH(Z30, 屬性克制表!$B$1:$T$1, 0)) * INDEX(屬性克制表!$B$2:$T$20, MATCH($G$1, 屬性克制表!$A$2:$A$20, 0), MATCH(AA30, 屬性克制表!$B$1:$T$1, 0)))</f>
        <v>25.38</v>
      </c>
    </row>
    <row r="31" spans="1:44">
      <c r="A31" s="81" t="str">
        <v>武道熊師(連)</v>
      </c>
      <c r="B31" s="83">
        <v>28.2</v>
      </c>
      <c r="C31" s="81" t="str">
        <v>毛毛角羊</v>
      </c>
      <c r="D31" s="83">
        <v>24.882999999999999</v>
      </c>
      <c r="E31" s="81" t="str">
        <v>武道熊師(一)</v>
      </c>
      <c r="F31" s="83">
        <v>28.2</v>
      </c>
      <c r="G31" s="81" t="str">
        <v>水箭龜</v>
      </c>
      <c r="H31" s="83">
        <v>27.824999999999999</v>
      </c>
      <c r="I31" s="76"/>
      <c r="J31" s="48" t="str">
        <v>怪力</v>
      </c>
      <c r="K31" s="48" t="str">
        <v>格鬥</v>
      </c>
      <c r="L31" s="48" t="str">
        <v>Y</v>
      </c>
      <c r="M31" s="48">
        <v>201</v>
      </c>
      <c r="N31" s="48" t="str">
        <v>G</v>
      </c>
      <c r="O31" s="79">
        <v>108540</v>
      </c>
      <c r="P31" s="91">
        <f t="shared" si="2"/>
        <v>0.49728404292751577</v>
      </c>
      <c r="Q31" s="71"/>
      <c r="R31" s="71"/>
      <c r="S31" s="71"/>
      <c r="T31" s="71"/>
      <c r="U31" s="71"/>
      <c r="V31" s="71"/>
      <c r="W31" s="71"/>
      <c r="Y31" s="48" t="s">
        <v>0</v>
      </c>
      <c r="Z31" s="48" t="s">
        <v>100</v>
      </c>
      <c r="AA31" s="48" t="s">
        <v>43</v>
      </c>
      <c r="AB31" s="51">
        <f>數據!P30</f>
        <v>22.62</v>
      </c>
      <c r="AC31" s="86">
        <f>數據!P29</f>
        <v>25.38</v>
      </c>
      <c r="AD31" s="3" t="s">
        <v>90</v>
      </c>
      <c r="AE31" s="4" t="s">
        <v>37</v>
      </c>
      <c r="AF31" s="4" t="s">
        <v>134</v>
      </c>
      <c r="AG31" s="3">
        <f t="shared" si="1"/>
        <v>210</v>
      </c>
      <c r="AH31" s="3" t="s">
        <v>6</v>
      </c>
      <c r="AI31" s="71">
        <f>AG31*IF(AH31="G", 450, IF(AH31="D", 350, 0)) * IF(AF31="Y", 1.2, 1)*(INDEX(屬性克制表!$B$2:$T$20, MATCH(AE31, 屬性克制表!$A$2:$A$20, 0), MATCH($L$1, 屬性克制表!$B$1:$T$1, 0)) * INDEX(屬性克制表!$B$2:$T$20, MATCH(AE31, 屬性克制表!$A$2:$A$20, 0), MATCH($M$1, 屬性克制表!$B$1:$T$1, 0)))</f>
        <v>55125</v>
      </c>
      <c r="AJ31">
        <f>_xlfn.XLOOKUP(AD31, 數據!B$2:B$50, 數據!M$2:M$50)</f>
        <v>210</v>
      </c>
      <c r="AK31" s="48" t="s">
        <v>0</v>
      </c>
      <c r="AL31" s="74">
        <f>AB31/(INDEX(屬性克制表!$B$2:$T$20, MATCH($A$1, 屬性克制表!$A$2:$A$20, 0), MATCH(Z31, 屬性克制表!$B$1:$T$1, 0)) * INDEX(屬性克制表!$B$2:$T$20, MATCH($A$1, 屬性克制表!$A$2:$A$20, 0), MATCH(AA31, 屬性克制表!$B$1:$T$1, 0)))</f>
        <v>36.192</v>
      </c>
      <c r="AM31" s="48" t="s">
        <v>0</v>
      </c>
      <c r="AN31" s="56">
        <f>AB31/(INDEX(屬性克制表!$B$2:$T$20, MATCH($C$1, 屬性克制表!$A$2:$A$20, 0), MATCH(Z31, 屬性克制表!$B$1:$T$1, 0)) * INDEX(屬性克制表!$B$2:$T$20, MATCH($C$1, 屬性克制表!$A$2:$A$20, 0), MATCH(AA31, 屬性克制表!$B$1:$T$1, 0)))</f>
        <v>36.15728900255754</v>
      </c>
      <c r="AO31" s="48" t="s">
        <v>0</v>
      </c>
      <c r="AP31" s="56">
        <f>AB31/(INDEX(屬性克制表!$B$2:$T$20, MATCH($E$1, 屬性克制表!$A$2:$A$20, 0), MATCH(Z31, 屬性克制表!$B$1:$T$1, 0)) * INDEX(屬性克制表!$B$2:$T$20, MATCH($E$1, 屬性克制表!$A$2:$A$20, 0), MATCH(AA31, 屬性克制表!$B$1:$T$1, 0)))</f>
        <v>14.137499999999999</v>
      </c>
      <c r="AQ31" s="48" t="s">
        <v>0</v>
      </c>
      <c r="AR31" s="56">
        <f>AB31/(INDEX(屬性克制表!$B$2:$T$20, MATCH($G$1, 屬性克制表!$A$2:$A$20, 0), MATCH(Z31, 屬性克制表!$B$1:$T$1, 0)) * INDEX(屬性克制表!$B$2:$T$20, MATCH($G$1, 屬性克制表!$A$2:$A$20, 0), MATCH(AA31, 屬性克制表!$B$1:$T$1, 0)))</f>
        <v>36.192</v>
      </c>
    </row>
    <row r="32" spans="1:44">
      <c r="A32" s="81" t="str">
        <v>水箭龜</v>
      </c>
      <c r="B32" s="83">
        <v>27.824999999999999</v>
      </c>
      <c r="C32" s="81" t="str">
        <v>冰伊布</v>
      </c>
      <c r="D32" s="83">
        <v>24.36</v>
      </c>
      <c r="E32" s="81" t="str">
        <v>雷公</v>
      </c>
      <c r="F32" s="83">
        <v>27.37</v>
      </c>
      <c r="G32" s="81" t="str">
        <v>雷公</v>
      </c>
      <c r="H32" s="83">
        <v>27.37</v>
      </c>
      <c r="I32" s="76"/>
      <c r="J32" s="48" t="str">
        <v>拉帝亞斯</v>
      </c>
      <c r="K32" s="48" t="str">
        <v>超能力</v>
      </c>
      <c r="L32" s="48" t="str">
        <v>Y</v>
      </c>
      <c r="M32" s="48">
        <v>158</v>
      </c>
      <c r="N32" s="48" t="str">
        <v>D</v>
      </c>
      <c r="O32" s="79">
        <v>106176</v>
      </c>
      <c r="P32" s="91">
        <f t="shared" si="2"/>
        <v>0.48645320197044328</v>
      </c>
      <c r="Q32" s="71"/>
      <c r="R32" s="71"/>
      <c r="S32" s="71"/>
      <c r="T32" s="71"/>
      <c r="U32" s="71"/>
      <c r="V32" s="71"/>
      <c r="W32" s="71"/>
      <c r="Y32" s="48" t="s">
        <v>59</v>
      </c>
      <c r="Z32" s="48" t="s">
        <v>73</v>
      </c>
      <c r="AA32" s="48" t="s">
        <v>71</v>
      </c>
      <c r="AB32" s="51">
        <f>數據!P31</f>
        <v>23.69</v>
      </c>
      <c r="AC32" s="86">
        <f>數據!P30</f>
        <v>22.62</v>
      </c>
      <c r="AD32" s="3" t="s">
        <v>56</v>
      </c>
      <c r="AE32" s="3" t="s">
        <v>43</v>
      </c>
      <c r="AF32" s="3" t="s">
        <v>134</v>
      </c>
      <c r="AG32" s="3">
        <f t="shared" si="1"/>
        <v>203</v>
      </c>
      <c r="AH32" s="3" t="s">
        <v>6</v>
      </c>
      <c r="AI32" s="71">
        <f>AG32*IF(AH32="G", 450, IF(AH32="D", 350, 0)) * IF(AF32="Y", 1.2, 1)*(INDEX(屬性克制表!$B$2:$T$20, MATCH(AE32, 屬性克制表!$A$2:$A$20, 0), MATCH($L$1, 屬性克制表!$B$1:$T$1, 0)) * INDEX(屬性克制表!$B$2:$T$20, MATCH(AE32, 屬性克制表!$A$2:$A$20, 0), MATCH($M$1, 屬性克制表!$B$1:$T$1, 0)))</f>
        <v>218265.60000000003</v>
      </c>
      <c r="AJ32">
        <f>_xlfn.XLOOKUP(AD32, 數據!B$2:B$50, 數據!M$2:M$50)</f>
        <v>203</v>
      </c>
      <c r="AK32" s="48" t="s">
        <v>59</v>
      </c>
      <c r="AL32" s="74">
        <f>AB32/(INDEX(屬性克制表!$B$2:$T$20, MATCH($A$1, 屬性克制表!$A$2:$A$20, 0), MATCH(Z32, 屬性克制表!$B$1:$T$1, 0)) * INDEX(屬性克制表!$B$2:$T$20, MATCH($A$1, 屬性克制表!$A$2:$A$20, 0), MATCH(AA32, 屬性克制表!$B$1:$T$1, 0)))</f>
        <v>14.80625</v>
      </c>
      <c r="AM32" s="48" t="s">
        <v>59</v>
      </c>
      <c r="AN32" s="56">
        <f>AB32/(INDEX(屬性克制表!$B$2:$T$20, MATCH($C$1, 屬性克制表!$A$2:$A$20, 0), MATCH(Z32, 屬性克制表!$B$1:$T$1, 0)) * INDEX(屬性克制表!$B$2:$T$20, MATCH($C$1, 屬性克制表!$A$2:$A$20, 0), MATCH(AA32, 屬性克制表!$B$1:$T$1, 0)))</f>
        <v>14.80625</v>
      </c>
      <c r="AO32" s="48" t="s">
        <v>59</v>
      </c>
      <c r="AP32" s="56">
        <f>AB32/(INDEX(屬性克制表!$B$2:$T$20, MATCH($E$1, 屬性克制表!$A$2:$A$20, 0), MATCH(Z32, 屬性克制表!$B$1:$T$1, 0)) * INDEX(屬性克制表!$B$2:$T$20, MATCH($E$1, 屬性克制表!$A$2:$A$20, 0), MATCH(AA32, 屬性克制表!$B$1:$T$1, 0)))</f>
        <v>14.80625</v>
      </c>
      <c r="AQ32" s="48" t="s">
        <v>59</v>
      </c>
      <c r="AR32" s="56">
        <f>AB32/(INDEX(屬性克制表!$B$2:$T$20, MATCH($G$1, 屬性克制表!$A$2:$A$20, 0), MATCH(Z32, 屬性克制表!$B$1:$T$1, 0)) * INDEX(屬性克制表!$B$2:$T$20, MATCH($G$1, 屬性克制表!$A$2:$A$20, 0), MATCH(AA32, 屬性克制表!$B$1:$T$1, 0)))</f>
        <v>37.904000000000003</v>
      </c>
    </row>
    <row r="33" spans="1:44">
      <c r="A33" s="81" t="str">
        <v>雷公</v>
      </c>
      <c r="B33" s="83">
        <v>27.37</v>
      </c>
      <c r="C33" s="81" t="str">
        <v>投擲猴</v>
      </c>
      <c r="D33" s="83">
        <v>24.103999999999999</v>
      </c>
      <c r="E33" s="81" t="str">
        <v>幾何雪花</v>
      </c>
      <c r="F33" s="83">
        <v>26.295999999999999</v>
      </c>
      <c r="G33" s="81" t="str">
        <v>轟擂金剛猩</v>
      </c>
      <c r="H33" s="83">
        <v>27.027000000000001</v>
      </c>
      <c r="I33" s="76"/>
      <c r="J33" s="48" t="str">
        <v>急凍鳥</v>
      </c>
      <c r="K33" s="48" t="str">
        <v>冰</v>
      </c>
      <c r="L33" s="48" t="str">
        <v>Y</v>
      </c>
      <c r="M33" s="48">
        <v>155</v>
      </c>
      <c r="N33" s="48" t="str">
        <v>D</v>
      </c>
      <c r="O33" s="79">
        <v>104160</v>
      </c>
      <c r="P33" s="91">
        <f t="shared" si="2"/>
        <v>0.47721674876847281</v>
      </c>
      <c r="Q33" s="71"/>
      <c r="R33" s="71"/>
      <c r="S33" s="71"/>
      <c r="T33" s="71"/>
      <c r="U33" s="71"/>
      <c r="V33" s="71"/>
      <c r="W33" s="71"/>
      <c r="Y33" s="48" t="s">
        <v>52</v>
      </c>
      <c r="Z33" s="48" t="s">
        <v>80</v>
      </c>
      <c r="AA33" s="48" t="s">
        <v>122</v>
      </c>
      <c r="AB33" s="51">
        <f>數據!P32</f>
        <v>22.68</v>
      </c>
      <c r="AC33" s="86">
        <f>數據!P31</f>
        <v>23.69</v>
      </c>
      <c r="AD33" s="3" t="s">
        <v>57</v>
      </c>
      <c r="AE33" s="3" t="s">
        <v>43</v>
      </c>
      <c r="AF33" s="3" t="s">
        <v>134</v>
      </c>
      <c r="AG33" s="3">
        <f t="shared" si="1"/>
        <v>200</v>
      </c>
      <c r="AH33" s="3" t="s">
        <v>6</v>
      </c>
      <c r="AI33" s="71">
        <f>AG33*IF(AH33="G", 450, IF(AH33="D", 350, 0)) * IF(AF33="Y", 1.2, 1)*(INDEX(屬性克制表!$B$2:$T$20, MATCH(AE33, 屬性克制表!$A$2:$A$20, 0), MATCH($L$1, 屬性克制表!$B$1:$T$1, 0)) * INDEX(屬性克制表!$B$2:$T$20, MATCH(AE33, 屬性克制表!$A$2:$A$20, 0), MATCH($M$1, 屬性克制表!$B$1:$T$1, 0)))</f>
        <v>215040.00000000003</v>
      </c>
      <c r="AJ33">
        <f>_xlfn.XLOOKUP(AD33, 數據!B$2:B$50, 數據!M$2:M$50)</f>
        <v>200</v>
      </c>
      <c r="AK33" s="48" t="s">
        <v>52</v>
      </c>
      <c r="AL33" s="74">
        <f>AB33/(INDEX(屬性克制表!$B$2:$T$20, MATCH($A$1, 屬性克制表!$A$2:$A$20, 0), MATCH(Z33, 屬性克制表!$B$1:$T$1, 0)) * INDEX(屬性克制表!$B$2:$T$20, MATCH($A$1, 屬性克制表!$A$2:$A$20, 0), MATCH(AA33, 屬性克制表!$B$1:$T$1, 0)))</f>
        <v>36.287999999999997</v>
      </c>
      <c r="AM33" s="48" t="s">
        <v>52</v>
      </c>
      <c r="AN33" s="56">
        <f>AB33/(INDEX(屬性克制表!$B$2:$T$20, MATCH($C$1, 屬性克制表!$A$2:$A$20, 0), MATCH(Z33, 屬性克制表!$B$1:$T$1, 0)) * INDEX(屬性克制表!$B$2:$T$20, MATCH($C$1, 屬性克制表!$A$2:$A$20, 0), MATCH(AA33, 屬性克制表!$B$1:$T$1, 0)))</f>
        <v>14.174999999999999</v>
      </c>
      <c r="AO33" s="48" t="s">
        <v>52</v>
      </c>
      <c r="AP33" s="56">
        <f>AB33/(INDEX(屬性克制表!$B$2:$T$20, MATCH($E$1, 屬性克制表!$A$2:$A$20, 0), MATCH(Z33, 屬性克制表!$B$1:$T$1, 0)) * INDEX(屬性克制表!$B$2:$T$20, MATCH($E$1, 屬性克制表!$A$2:$A$20, 0), MATCH(AA33, 屬性克制表!$B$1:$T$1, 0)))</f>
        <v>22.68</v>
      </c>
      <c r="AQ33" s="48" t="s">
        <v>52</v>
      </c>
      <c r="AR33" s="56">
        <f>AB33/(INDEX(屬性克制表!$B$2:$T$20, MATCH($G$1, 屬性克制表!$A$2:$A$20, 0), MATCH(Z33, 屬性克制表!$B$1:$T$1, 0)) * INDEX(屬性克制表!$B$2:$T$20, MATCH($G$1, 屬性克制表!$A$2:$A$20, 0), MATCH(AA33, 屬性克制表!$B$1:$T$1, 0)))</f>
        <v>36.287999999999997</v>
      </c>
    </row>
    <row r="34" spans="1:44">
      <c r="A34" s="81" t="str">
        <v>轟擂金剛猩</v>
      </c>
      <c r="B34" s="83">
        <v>27.027000000000001</v>
      </c>
      <c r="C34" s="81" t="str">
        <v>沙奈朵</v>
      </c>
      <c r="D34" s="83">
        <v>24.07</v>
      </c>
      <c r="E34" s="81" t="str">
        <v>多刺菊石獸</v>
      </c>
      <c r="F34" s="83">
        <v>25.456</v>
      </c>
      <c r="G34" s="81" t="str">
        <v>幾何雪花</v>
      </c>
      <c r="H34" s="83">
        <v>26.295999999999999</v>
      </c>
      <c r="I34" s="76"/>
      <c r="J34" s="48" t="str">
        <v>幾何雪花</v>
      </c>
      <c r="K34" s="48" t="str">
        <v>冰</v>
      </c>
      <c r="L34" s="48" t="str">
        <v>Y</v>
      </c>
      <c r="M34" s="48">
        <v>153</v>
      </c>
      <c r="N34" s="48" t="str">
        <v>D</v>
      </c>
      <c r="O34" s="79">
        <v>102816</v>
      </c>
      <c r="P34" s="91">
        <f t="shared" si="2"/>
        <v>0.47105911330049255</v>
      </c>
      <c r="Q34" s="71"/>
      <c r="R34" s="71"/>
      <c r="S34" s="71"/>
      <c r="T34" s="71"/>
      <c r="U34" s="71"/>
      <c r="V34" s="71"/>
      <c r="W34" s="71"/>
      <c r="Y34" s="48" t="s">
        <v>1</v>
      </c>
      <c r="Z34" s="48" t="s">
        <v>42</v>
      </c>
      <c r="AA34" s="48" t="s">
        <v>122</v>
      </c>
      <c r="AB34" s="51">
        <f>數據!P33</f>
        <v>24.36</v>
      </c>
      <c r="AC34" s="86">
        <f>數據!P32</f>
        <v>22.68</v>
      </c>
      <c r="AD34" s="4" t="s">
        <v>7</v>
      </c>
      <c r="AE34" s="3" t="s">
        <v>100</v>
      </c>
      <c r="AF34" s="3" t="s">
        <v>134</v>
      </c>
      <c r="AG34" s="3">
        <f t="shared" si="1"/>
        <v>200</v>
      </c>
      <c r="AH34" s="7" t="s">
        <v>6</v>
      </c>
      <c r="AI34" s="71">
        <f>AG34*IF(AH34="G", 450, IF(AH34="D", 350, 0)) * IF(AF34="Y", 1.2, 1)*(INDEX(屬性克制表!$B$2:$T$20, MATCH(AE34, 屬性克制表!$A$2:$A$20, 0), MATCH($L$1, 屬性克制表!$B$1:$T$1, 0)) * INDEX(屬性克制表!$B$2:$T$20, MATCH(AE34, 屬性克制表!$A$2:$A$20, 0), MATCH($M$1, 屬性克制表!$B$1:$T$1, 0)))</f>
        <v>134400</v>
      </c>
      <c r="AJ34">
        <f>_xlfn.XLOOKUP(AD34, 數據!B$2:B$50, 數據!M$2:M$50)</f>
        <v>200</v>
      </c>
      <c r="AK34" s="48" t="s">
        <v>1</v>
      </c>
      <c r="AL34" s="74">
        <f>AB34/(INDEX(屬性克制表!$B$2:$T$20, MATCH($A$1, 屬性克制表!$A$2:$A$20, 0), MATCH(Z34, 屬性克制表!$B$1:$T$1, 0)) * INDEX(屬性克制表!$B$2:$T$20, MATCH($A$1, 屬性克制表!$A$2:$A$20, 0), MATCH(AA34, 屬性克制表!$B$1:$T$1, 0)))</f>
        <v>24.36</v>
      </c>
      <c r="AM34" s="48" t="s">
        <v>1</v>
      </c>
      <c r="AN34" s="56">
        <f>AB34/(INDEX(屬性克制表!$B$2:$T$20, MATCH($C$1, 屬性克制表!$A$2:$A$20, 0), MATCH(Z34, 屬性克制表!$B$1:$T$1, 0)) * INDEX(屬性克制表!$B$2:$T$20, MATCH($C$1, 屬性克制表!$A$2:$A$20, 0), MATCH(AA34, 屬性克制表!$B$1:$T$1, 0)))</f>
        <v>15.225</v>
      </c>
      <c r="AO34" s="48" t="s">
        <v>1</v>
      </c>
      <c r="AP34" s="56">
        <f>AB34/(INDEX(屬性克制表!$B$2:$T$20, MATCH($E$1, 屬性克制表!$A$2:$A$20, 0), MATCH(Z34, 屬性克制表!$B$1:$T$1, 0)) * INDEX(屬性克制表!$B$2:$T$20, MATCH($E$1, 屬性克制表!$A$2:$A$20, 0), MATCH(AA34, 屬性克制表!$B$1:$T$1, 0)))</f>
        <v>15.225</v>
      </c>
      <c r="AQ34" s="48" t="s">
        <v>1</v>
      </c>
      <c r="AR34" s="56">
        <f>AB34/(INDEX(屬性克制表!$B$2:$T$20, MATCH($G$1, 屬性克制表!$A$2:$A$20, 0), MATCH(Z34, 屬性克制表!$B$1:$T$1, 0)) * INDEX(屬性克制表!$B$2:$T$20, MATCH($G$1, 屬性克制表!$A$2:$A$20, 0), MATCH(AA34, 屬性克制表!$B$1:$T$1, 0)))</f>
        <v>38.975999999999999</v>
      </c>
    </row>
    <row r="35" spans="1:44">
      <c r="A35" s="81" t="str">
        <v>藏瑪然特</v>
      </c>
      <c r="B35" s="83">
        <v>26.918749999999999</v>
      </c>
      <c r="C35" s="81" t="str">
        <v>艾路雷朵</v>
      </c>
      <c r="D35" s="83">
        <v>24.07</v>
      </c>
      <c r="E35" s="81" t="str">
        <v>怪力</v>
      </c>
      <c r="F35" s="83">
        <v>25.38</v>
      </c>
      <c r="G35" s="81" t="str">
        <v>葉伊布</v>
      </c>
      <c r="H35" s="83">
        <v>25.9</v>
      </c>
      <c r="I35" s="76"/>
      <c r="J35" s="48" t="str">
        <v>烏賊王</v>
      </c>
      <c r="K35" s="48" t="str">
        <v>超能力</v>
      </c>
      <c r="L35" s="48" t="str">
        <v>Y</v>
      </c>
      <c r="M35" s="48">
        <v>151</v>
      </c>
      <c r="N35" s="48" t="str">
        <v>D</v>
      </c>
      <c r="O35" s="79">
        <v>101472</v>
      </c>
      <c r="P35" s="91">
        <f t="shared" si="2"/>
        <v>0.46490147783251223</v>
      </c>
      <c r="Q35" s="71"/>
      <c r="R35" s="71"/>
      <c r="S35" s="71"/>
      <c r="T35" s="71"/>
      <c r="U35" s="71"/>
      <c r="V35" s="71"/>
      <c r="W35" s="71"/>
      <c r="Y35" s="48" t="s">
        <v>24</v>
      </c>
      <c r="Z35" s="48" t="s">
        <v>36</v>
      </c>
      <c r="AA35" s="48" t="s">
        <v>122</v>
      </c>
      <c r="AB35" s="51">
        <f>數據!P34</f>
        <v>22.88</v>
      </c>
      <c r="AC35" s="86">
        <f>數據!P33</f>
        <v>24.36</v>
      </c>
      <c r="AD35" s="3" t="s">
        <v>88</v>
      </c>
      <c r="AE35" s="4" t="s">
        <v>71</v>
      </c>
      <c r="AF35" s="4" t="s">
        <v>134</v>
      </c>
      <c r="AG35" s="3">
        <f t="shared" si="1"/>
        <v>218</v>
      </c>
      <c r="AH35" s="3" t="s">
        <v>6</v>
      </c>
      <c r="AI35" s="71">
        <f>AG35*IF(AH35="G", 450, IF(AH35="D", 350, 0)) * IF(AF35="Y", 1.2, 1)*(INDEX(屬性克制表!$B$2:$T$20, MATCH(AE35, 屬性克制表!$A$2:$A$20, 0), MATCH($L$1, 屬性克制表!$B$1:$T$1, 0)) * INDEX(屬性克制表!$B$2:$T$20, MATCH(AE35, 屬性克制表!$A$2:$A$20, 0), MATCH($M$1, 屬性克制表!$B$1:$T$1, 0)))</f>
        <v>91560</v>
      </c>
      <c r="AJ35">
        <f>_xlfn.XLOOKUP(AD35, 數據!B$2:B$50, 數據!M$2:M$50)</f>
        <v>218</v>
      </c>
      <c r="AK35" s="48" t="s">
        <v>24</v>
      </c>
      <c r="AL35" s="74">
        <f>AB35/(INDEX(屬性克制表!$B$2:$T$20, MATCH($A$1, 屬性克制表!$A$2:$A$20, 0), MATCH(Z35, 屬性克制表!$B$1:$T$1, 0)) * INDEX(屬性克制表!$B$2:$T$20, MATCH($A$1, 屬性克制表!$A$2:$A$20, 0), MATCH(AA35, 屬性克制表!$B$1:$T$1, 0)))</f>
        <v>22.88</v>
      </c>
      <c r="AM35" s="48" t="s">
        <v>24</v>
      </c>
      <c r="AN35" s="56">
        <f>AB35/(INDEX(屬性克制表!$B$2:$T$20, MATCH($C$1, 屬性克制表!$A$2:$A$20, 0), MATCH(Z35, 屬性克制表!$B$1:$T$1, 0)) * INDEX(屬性克制表!$B$2:$T$20, MATCH($C$1, 屬性克制表!$A$2:$A$20, 0), MATCH(AA35, 屬性克制表!$B$1:$T$1, 0)))</f>
        <v>22.88</v>
      </c>
      <c r="AO35" s="48" t="s">
        <v>24</v>
      </c>
      <c r="AP35" s="56">
        <f>AB35/(INDEX(屬性克制表!$B$2:$T$20, MATCH($E$1, 屬性克制表!$A$2:$A$20, 0), MATCH(Z35, 屬性克制表!$B$1:$T$1, 0)) * INDEX(屬性克制表!$B$2:$T$20, MATCH($E$1, 屬性克制表!$A$2:$A$20, 0), MATCH(AA35, 屬性克制表!$B$1:$T$1, 0)))</f>
        <v>36.607999999999997</v>
      </c>
      <c r="AQ35" s="48" t="s">
        <v>24</v>
      </c>
      <c r="AR35" s="56">
        <f>AB35/(INDEX(屬性克制表!$B$2:$T$20, MATCH($G$1, 屬性克制表!$A$2:$A$20, 0), MATCH(Z35, 屬性克制表!$B$1:$T$1, 0)) * INDEX(屬性克制表!$B$2:$T$20, MATCH($G$1, 屬性克制表!$A$2:$A$20, 0), MATCH(AA35, 屬性克制表!$B$1:$T$1, 0)))</f>
        <v>22.88</v>
      </c>
    </row>
    <row r="36" spans="1:44">
      <c r="A36" s="81" t="str">
        <v>葉伊布</v>
      </c>
      <c r="B36" s="83">
        <v>25.9</v>
      </c>
      <c r="C36" s="81" t="str">
        <v>烏賊王</v>
      </c>
      <c r="D36" s="83">
        <v>23.998000000000001</v>
      </c>
      <c r="E36" s="81" t="str">
        <v>閃電鳥</v>
      </c>
      <c r="F36" s="83">
        <v>25.367999999999999</v>
      </c>
      <c r="G36" s="81" t="str">
        <v>多刺菊石獸</v>
      </c>
      <c r="H36" s="83">
        <v>25.456</v>
      </c>
      <c r="I36" s="76"/>
      <c r="J36" s="48" t="str">
        <v>無極汰那</v>
      </c>
      <c r="K36" s="48" t="str">
        <v>龍</v>
      </c>
      <c r="L36" s="48" t="str">
        <v>Y</v>
      </c>
      <c r="M36" s="48">
        <v>229</v>
      </c>
      <c r="N36" s="48" t="str">
        <v>D</v>
      </c>
      <c r="O36" s="79">
        <v>96180</v>
      </c>
      <c r="P36" s="91">
        <f t="shared" si="2"/>
        <v>0.44065578817733986</v>
      </c>
      <c r="Q36" s="71"/>
      <c r="R36" s="71"/>
      <c r="S36" s="71"/>
      <c r="T36" s="71"/>
      <c r="U36" s="71"/>
      <c r="V36" s="71"/>
      <c r="W36" s="71"/>
      <c r="Y36" s="48" t="s">
        <v>54</v>
      </c>
      <c r="Z36" s="48" t="s">
        <v>36</v>
      </c>
      <c r="AA36" s="48" t="s">
        <v>36</v>
      </c>
      <c r="AB36" s="51">
        <f>數據!P35</f>
        <v>21.172000000000001</v>
      </c>
      <c r="AC36" s="86">
        <f>數據!P34</f>
        <v>22.88</v>
      </c>
      <c r="AD36" s="4" t="s">
        <v>8</v>
      </c>
      <c r="AE36" s="3" t="s">
        <v>100</v>
      </c>
      <c r="AF36" s="3" t="s">
        <v>134</v>
      </c>
      <c r="AG36" s="3">
        <f t="shared" si="1"/>
        <v>175</v>
      </c>
      <c r="AH36" s="7" t="s">
        <v>6</v>
      </c>
      <c r="AI36" s="71">
        <f>AG36*IF(AH36="G", 450, IF(AH36="D", 350, 0)) * IF(AF36="Y", 1.2, 1)*(INDEX(屬性克制表!$B$2:$T$20, MATCH(AE36, 屬性克制表!$A$2:$A$20, 0), MATCH($L$1, 屬性克制表!$B$1:$T$1, 0)) * INDEX(屬性克制表!$B$2:$T$20, MATCH(AE36, 屬性克制表!$A$2:$A$20, 0), MATCH($M$1, 屬性克制表!$B$1:$T$1, 0)))</f>
        <v>117600</v>
      </c>
      <c r="AJ36">
        <f>_xlfn.XLOOKUP(AD36, 數據!B$2:B$50, 數據!M$2:M$50)</f>
        <v>175</v>
      </c>
      <c r="AK36" s="48" t="s">
        <v>54</v>
      </c>
      <c r="AL36" s="74">
        <f>AB36/(INDEX(屬性克制表!$B$2:$T$20, MATCH($A$1, 屬性克制表!$A$2:$A$20, 0), MATCH(Z36, 屬性克制表!$B$1:$T$1, 0)) * INDEX(屬性克制表!$B$2:$T$20, MATCH($A$1, 屬性克制表!$A$2:$A$20, 0), MATCH(AA36, 屬性克制表!$B$1:$T$1, 0)))</f>
        <v>21.172000000000001</v>
      </c>
      <c r="AM36" s="48" t="s">
        <v>54</v>
      </c>
      <c r="AN36" s="56">
        <f>AB36/(INDEX(屬性克制表!$B$2:$T$20, MATCH($C$1, 屬性克制表!$A$2:$A$20, 0), MATCH(Z36, 屬性克制表!$B$1:$T$1, 0)) * INDEX(屬性克制表!$B$2:$T$20, MATCH($C$1, 屬性克制表!$A$2:$A$20, 0), MATCH(AA36, 屬性克制表!$B$1:$T$1, 0)))</f>
        <v>21.172000000000001</v>
      </c>
      <c r="AO36" s="48" t="s">
        <v>54</v>
      </c>
      <c r="AP36" s="56">
        <f>AB36/(INDEX(屬性克制表!$B$2:$T$20, MATCH($E$1, 屬性克制表!$A$2:$A$20, 0), MATCH(Z36, 屬性克制表!$B$1:$T$1, 0)) * INDEX(屬性克制表!$B$2:$T$20, MATCH($E$1, 屬性克制表!$A$2:$A$20, 0), MATCH(AA36, 屬性克制表!$B$1:$T$1, 0)))</f>
        <v>54.200320000000005</v>
      </c>
      <c r="AQ36" s="48" t="s">
        <v>54</v>
      </c>
      <c r="AR36" s="56">
        <f>AB36/(INDEX(屬性克制表!$B$2:$T$20, MATCH($G$1, 屬性克制表!$A$2:$A$20, 0), MATCH(Z36, 屬性克制表!$B$1:$T$1, 0)) * INDEX(屬性克制表!$B$2:$T$20, MATCH($G$1, 屬性克制表!$A$2:$A$20, 0), MATCH(AA36, 屬性克制表!$B$1:$T$1, 0)))</f>
        <v>21.172000000000001</v>
      </c>
    </row>
    <row r="37" spans="1:44">
      <c r="A37" s="81" t="str">
        <v>怪力</v>
      </c>
      <c r="B37" s="83">
        <v>25.38</v>
      </c>
      <c r="C37" s="81" t="str">
        <v>妙蛙花</v>
      </c>
      <c r="D37" s="83">
        <v>23.712</v>
      </c>
      <c r="E37" s="81" t="str">
        <v>毛毛角羊</v>
      </c>
      <c r="F37" s="83">
        <v>24.882999999999999</v>
      </c>
      <c r="G37" s="81" t="str">
        <v>怪力</v>
      </c>
      <c r="H37" s="83">
        <v>25.38</v>
      </c>
      <c r="I37" s="76"/>
      <c r="J37" s="48" t="str">
        <v>耿鬼</v>
      </c>
      <c r="K37" s="48" t="str">
        <v>幽靈</v>
      </c>
      <c r="L37" s="48" t="str">
        <v>Y</v>
      </c>
      <c r="M37" s="48">
        <v>223</v>
      </c>
      <c r="N37" s="48" t="str">
        <v>D</v>
      </c>
      <c r="O37" s="79">
        <v>93660</v>
      </c>
      <c r="P37" s="91">
        <f t="shared" si="2"/>
        <v>0.42911022167487678</v>
      </c>
      <c r="Q37" s="71"/>
      <c r="R37" s="71"/>
      <c r="S37" s="71"/>
      <c r="T37" s="71"/>
      <c r="U37" s="71"/>
      <c r="V37" s="71"/>
      <c r="W37" s="71"/>
      <c r="Y37" s="48" t="s">
        <v>58</v>
      </c>
      <c r="Z37" s="48" t="s">
        <v>74</v>
      </c>
      <c r="AA37" s="48" t="s">
        <v>43</v>
      </c>
      <c r="AB37" s="51">
        <f>數據!P36</f>
        <v>20.32</v>
      </c>
      <c r="AC37" s="86">
        <f>數據!P35</f>
        <v>21.172000000000001</v>
      </c>
      <c r="AD37" s="4" t="s">
        <v>1</v>
      </c>
      <c r="AE37" s="3" t="s">
        <v>100</v>
      </c>
      <c r="AF37" s="3" t="s">
        <v>134</v>
      </c>
      <c r="AG37" s="3">
        <f t="shared" si="1"/>
        <v>205</v>
      </c>
      <c r="AH37" s="7" t="s">
        <v>6</v>
      </c>
      <c r="AI37" s="71">
        <f>AG37*IF(AH37="G", 450, IF(AH37="D", 350, 0)) * IF(AF37="Y", 1.2, 1)*(INDEX(屬性克制表!$B$2:$T$20, MATCH(AE37, 屬性克制表!$A$2:$A$20, 0), MATCH($L$1, 屬性克制表!$B$1:$T$1, 0)) * INDEX(屬性克制表!$B$2:$T$20, MATCH(AE37, 屬性克制表!$A$2:$A$20, 0), MATCH($M$1, 屬性克制表!$B$1:$T$1, 0)))</f>
        <v>137760</v>
      </c>
      <c r="AJ37">
        <f>_xlfn.XLOOKUP(AD37, 數據!B$2:B$50, 數據!M$2:M$50)</f>
        <v>205</v>
      </c>
      <c r="AK37" s="48" t="s">
        <v>58</v>
      </c>
      <c r="AL37" s="74">
        <f>AB37/(INDEX(屬性克制表!$B$2:$T$20, MATCH($A$1, 屬性克制表!$A$2:$A$20, 0), MATCH(Z37, 屬性克制表!$B$1:$T$1, 0)) * INDEX(屬性克制表!$B$2:$T$20, MATCH($A$1, 屬性克制表!$A$2:$A$20, 0), MATCH(AA37, 屬性克制表!$B$1:$T$1, 0)))</f>
        <v>20.32</v>
      </c>
      <c r="AM37" s="48" t="s">
        <v>58</v>
      </c>
      <c r="AN37" s="56">
        <f>AB37/(INDEX(屬性克制表!$B$2:$T$20, MATCH($C$1, 屬性克制表!$A$2:$A$20, 0), MATCH(Z37, 屬性克制表!$B$1:$T$1, 0)) * INDEX(屬性克制表!$B$2:$T$20, MATCH($C$1, 屬性克制表!$A$2:$A$20, 0), MATCH(AA37, 屬性克制表!$B$1:$T$1, 0)))</f>
        <v>51.969309462915596</v>
      </c>
      <c r="AO37" s="48" t="s">
        <v>58</v>
      </c>
      <c r="AP37" s="56">
        <f>AB37/(INDEX(屬性克制表!$B$2:$T$20, MATCH($E$1, 屬性克制表!$A$2:$A$20, 0), MATCH(Z37, 屬性克制表!$B$1:$T$1, 0)) * INDEX(屬性克制表!$B$2:$T$20, MATCH($E$1, 屬性克制表!$A$2:$A$20, 0), MATCH(AA37, 屬性克制表!$B$1:$T$1, 0)))</f>
        <v>20.32</v>
      </c>
      <c r="AQ37" s="48" t="s">
        <v>58</v>
      </c>
      <c r="AR37" s="56">
        <f>AB37/(INDEX(屬性克制表!$B$2:$T$20, MATCH($G$1, 屬性克制表!$A$2:$A$20, 0), MATCH(Z37, 屬性克制表!$B$1:$T$1, 0)) * INDEX(屬性克制表!$B$2:$T$20, MATCH($G$1, 屬性克制表!$A$2:$A$20, 0), MATCH(AA37, 屬性克制表!$B$1:$T$1, 0)))</f>
        <v>20.32</v>
      </c>
    </row>
    <row r="38" spans="1:44">
      <c r="A38" s="81" t="str">
        <v>甜冷美后</v>
      </c>
      <c r="B38" s="83">
        <v>24.9</v>
      </c>
      <c r="C38" s="81" t="str">
        <v>蒼響</v>
      </c>
      <c r="D38" s="83">
        <v>23.030624999999997</v>
      </c>
      <c r="E38" s="81" t="str">
        <v>冰伊布</v>
      </c>
      <c r="F38" s="83">
        <v>24.36</v>
      </c>
      <c r="G38" s="81" t="str">
        <v>閃電鳥</v>
      </c>
      <c r="H38" s="83">
        <v>25.367999999999999</v>
      </c>
      <c r="I38" s="76"/>
      <c r="J38" s="48" t="str">
        <v>拉帝歐斯</v>
      </c>
      <c r="K38" s="48" t="str">
        <v>龍</v>
      </c>
      <c r="L38" s="48" t="str">
        <v>Y</v>
      </c>
      <c r="M38" s="48">
        <v>221</v>
      </c>
      <c r="N38" s="48" t="str">
        <v>D</v>
      </c>
      <c r="O38" s="79">
        <v>92820</v>
      </c>
      <c r="P38" s="91">
        <f t="shared" si="2"/>
        <v>0.42526169950738907</v>
      </c>
      <c r="Q38" s="71"/>
      <c r="R38" s="71"/>
      <c r="S38" s="71"/>
      <c r="T38" s="71"/>
      <c r="U38" s="71"/>
      <c r="V38" s="71"/>
      <c r="W38" s="71"/>
      <c r="Y38" s="48" t="s">
        <v>69</v>
      </c>
      <c r="Z38" s="48" t="s">
        <v>70</v>
      </c>
      <c r="AA38" s="48" t="s">
        <v>122</v>
      </c>
      <c r="AB38" s="51">
        <f>數據!P37</f>
        <v>19.591000000000001</v>
      </c>
      <c r="AC38" s="86">
        <f>數據!P36</f>
        <v>20.32</v>
      </c>
      <c r="AD38" s="3" t="s">
        <v>53</v>
      </c>
      <c r="AE38" s="4" t="s">
        <v>97</v>
      </c>
      <c r="AF38" s="4" t="s">
        <v>134</v>
      </c>
      <c r="AG38" s="3">
        <f t="shared" si="1"/>
        <v>198</v>
      </c>
      <c r="AH38" s="3" t="s">
        <v>6</v>
      </c>
      <c r="AI38" s="71">
        <f>AG38*IF(AH38="G", 450, IF(AH38="D", 350, 0)) * IF(AF38="Y", 1.2, 1)*(INDEX(屬性克制表!$B$2:$T$20, MATCH(AE38, 屬性克制表!$A$2:$A$20, 0), MATCH($L$1, 屬性克制表!$B$1:$T$1, 0)) * INDEX(屬性克制表!$B$2:$T$20, MATCH(AE38, 屬性克制表!$A$2:$A$20, 0), MATCH($M$1, 屬性克制表!$B$1:$T$1, 0)))</f>
        <v>133056</v>
      </c>
      <c r="AJ38">
        <f>_xlfn.XLOOKUP(AD38, 數據!B$2:B$50, 數據!M$2:M$50)</f>
        <v>198</v>
      </c>
      <c r="AK38" s="48" t="s">
        <v>69</v>
      </c>
      <c r="AL38" s="74">
        <f>AB38/(INDEX(屬性克制表!$B$2:$T$20, MATCH($A$1, 屬性克制表!$A$2:$A$20, 0), MATCH(Z38, 屬性克制表!$B$1:$T$1, 0)) * INDEX(屬性克制表!$B$2:$T$20, MATCH($A$1, 屬性克制表!$A$2:$A$20, 0), MATCH(AA38, 屬性克制表!$B$1:$T$1, 0)))</f>
        <v>19.591000000000001</v>
      </c>
      <c r="AM38" s="48" t="s">
        <v>69</v>
      </c>
      <c r="AN38" s="56">
        <f>AB38/(INDEX(屬性克制表!$B$2:$T$20, MATCH($C$1, 屬性克制表!$A$2:$A$20, 0), MATCH(Z38, 屬性克制表!$B$1:$T$1, 0)) * INDEX(屬性克制表!$B$2:$T$20, MATCH($C$1, 屬性克制表!$A$2:$A$20, 0), MATCH(AA38, 屬性克制表!$B$1:$T$1, 0)))</f>
        <v>19.591000000000001</v>
      </c>
      <c r="AO38" s="48" t="s">
        <v>69</v>
      </c>
      <c r="AP38" s="56">
        <f>AB38/(INDEX(屬性克制表!$B$2:$T$20, MATCH($E$1, 屬性克制表!$A$2:$A$20, 0), MATCH(Z38, 屬性克制表!$B$1:$T$1, 0)) * INDEX(屬性克制表!$B$2:$T$20, MATCH($E$1, 屬性克制表!$A$2:$A$20, 0), MATCH(AA38, 屬性克制表!$B$1:$T$1, 0)))</f>
        <v>19.591000000000001</v>
      </c>
      <c r="AQ38" s="48" t="s">
        <v>69</v>
      </c>
      <c r="AR38" s="56">
        <f>AB38/(INDEX(屬性克制表!$B$2:$T$20, MATCH($G$1, 屬性克制表!$A$2:$A$20, 0), MATCH(Z38, 屬性克制表!$B$1:$T$1, 0)) * INDEX(屬性克制表!$B$2:$T$20, MATCH($G$1, 屬性克制表!$A$2:$A$20, 0), MATCH(AA38, 屬性克制表!$B$1:$T$1, 0)))</f>
        <v>19.591000000000001</v>
      </c>
    </row>
    <row r="39" spans="1:44">
      <c r="A39" s="81" t="str">
        <v>閃焰王牌</v>
      </c>
      <c r="B39" s="83">
        <v>24.36</v>
      </c>
      <c r="C39" s="81" t="str">
        <v>吼鯨王</v>
      </c>
      <c r="D39" s="83">
        <v>22.88</v>
      </c>
      <c r="E39" s="81" t="str">
        <v>投擲猴</v>
      </c>
      <c r="F39" s="83">
        <v>24.103999999999999</v>
      </c>
      <c r="G39" s="81" t="str">
        <v>甜冷美后</v>
      </c>
      <c r="H39" s="83">
        <v>24.9</v>
      </c>
      <c r="I39" s="76"/>
      <c r="J39" s="48" t="str">
        <v>藏瑪然特</v>
      </c>
      <c r="K39" s="48" t="str">
        <v>鋼</v>
      </c>
      <c r="L39" s="48" t="str">
        <v>Y</v>
      </c>
      <c r="M39" s="48">
        <v>218</v>
      </c>
      <c r="N39" s="48" t="str">
        <v>D</v>
      </c>
      <c r="O39" s="79">
        <v>91560</v>
      </c>
      <c r="P39" s="91">
        <f t="shared" si="2"/>
        <v>0.41948891625615758</v>
      </c>
      <c r="Q39" s="71"/>
      <c r="R39" s="71"/>
      <c r="S39" s="71"/>
      <c r="T39" s="71"/>
      <c r="U39" s="71"/>
      <c r="V39" s="71"/>
      <c r="W39" s="71"/>
      <c r="Y39" s="48" t="s">
        <v>53</v>
      </c>
      <c r="Z39" s="48" t="s">
        <v>99</v>
      </c>
      <c r="AA39" s="48" t="s">
        <v>97</v>
      </c>
      <c r="AB39" s="51">
        <f>數據!P38</f>
        <v>19.84</v>
      </c>
      <c r="AC39" s="86">
        <f>數據!P37</f>
        <v>19.591000000000001</v>
      </c>
      <c r="AD39" s="3" t="s">
        <v>53</v>
      </c>
      <c r="AE39" s="4" t="s">
        <v>99</v>
      </c>
      <c r="AF39" s="4" t="s">
        <v>134</v>
      </c>
      <c r="AG39" s="3">
        <f t="shared" si="1"/>
        <v>198</v>
      </c>
      <c r="AH39" s="3" t="s">
        <v>6</v>
      </c>
      <c r="AI39" s="71">
        <f>AG39*IF(AH39="G", 450, IF(AH39="D", 350, 0)) * IF(AF39="Y", 1.2, 1)*(INDEX(屬性克制表!$B$2:$T$20, MATCH(AE39, 屬性克制表!$A$2:$A$20, 0), MATCH($L$1, 屬性克制表!$B$1:$T$1, 0)) * INDEX(屬性克制表!$B$2:$T$20, MATCH(AE39, 屬性克制表!$A$2:$A$20, 0), MATCH($M$1, 屬性克制表!$B$1:$T$1, 0)))</f>
        <v>83160</v>
      </c>
      <c r="AJ39">
        <f>_xlfn.XLOOKUP(AD39, 數據!B$2:B$50, 數據!M$2:M$50)</f>
        <v>198</v>
      </c>
      <c r="AK39" s="48" t="s">
        <v>53</v>
      </c>
      <c r="AL39" s="74">
        <f>AB39/(INDEX(屬性克制表!$B$2:$T$20, MATCH($A$1, 屬性克制表!$A$2:$A$20, 0), MATCH(Z39, 屬性克制表!$B$1:$T$1, 0)) * INDEX(屬性克制表!$B$2:$T$20, MATCH($A$1, 屬性克制表!$A$2:$A$20, 0), MATCH(AA39, 屬性克制表!$B$1:$T$1, 0)))</f>
        <v>50.790399999999998</v>
      </c>
      <c r="AM39" s="48" t="s">
        <v>53</v>
      </c>
      <c r="AN39" s="56">
        <f>AB39/(INDEX(屬性克制表!$B$2:$T$20, MATCH($C$1, 屬性克制表!$A$2:$A$20, 0), MATCH(Z39, 屬性克制表!$B$1:$T$1, 0)) * INDEX(屬性克制表!$B$2:$T$20, MATCH($C$1, 屬性克制表!$A$2:$A$20, 0), MATCH(AA39, 屬性克制表!$B$1:$T$1, 0)))</f>
        <v>19.84</v>
      </c>
      <c r="AO39" s="48" t="s">
        <v>53</v>
      </c>
      <c r="AP39" s="56">
        <f>AB39/(INDEX(屬性克制表!$B$2:$T$20, MATCH($E$1, 屬性克制表!$A$2:$A$20, 0), MATCH(Z39, 屬性克制表!$B$1:$T$1, 0)) * INDEX(屬性克制表!$B$2:$T$20, MATCH($E$1, 屬性克制表!$A$2:$A$20, 0), MATCH(AA39, 屬性克制表!$B$1:$T$1, 0)))</f>
        <v>19.84</v>
      </c>
      <c r="AQ39" s="48" t="s">
        <v>53</v>
      </c>
      <c r="AR39" s="56">
        <f>AB39/(INDEX(屬性克制表!$B$2:$T$20, MATCH($G$1, 屬性克制表!$A$2:$A$20, 0), MATCH(Z39, 屬性克制表!$B$1:$T$1, 0)) * INDEX(屬性克制表!$B$2:$T$20, MATCH($G$1, 屬性克制表!$A$2:$A$20, 0), MATCH(AA39, 屬性克制表!$B$1:$T$1, 0)))</f>
        <v>19.84</v>
      </c>
    </row>
    <row r="40" spans="1:44">
      <c r="A40" s="81" t="str">
        <v>投擲猴</v>
      </c>
      <c r="B40" s="83">
        <v>24.103999999999999</v>
      </c>
      <c r="C40" s="81" t="str">
        <v>無極汰那</v>
      </c>
      <c r="D40" s="83">
        <v>22.376249999999999</v>
      </c>
      <c r="E40" s="81" t="str">
        <v>沙奈朵</v>
      </c>
      <c r="F40" s="83">
        <v>24.07</v>
      </c>
      <c r="G40" s="81" t="str">
        <v>毛毛角羊</v>
      </c>
      <c r="H40" s="83">
        <v>24.882999999999999</v>
      </c>
      <c r="I40" s="76"/>
      <c r="J40" s="48" t="str">
        <v>龍頭地鼠</v>
      </c>
      <c r="K40" s="48" t="str">
        <v>鋼</v>
      </c>
      <c r="L40" s="48" t="str">
        <v>Y</v>
      </c>
      <c r="M40" s="48">
        <v>217</v>
      </c>
      <c r="N40" s="48" t="str">
        <v>D</v>
      </c>
      <c r="O40" s="79">
        <v>91140</v>
      </c>
      <c r="P40" s="91">
        <f t="shared" si="2"/>
        <v>0.4175646551724137</v>
      </c>
      <c r="Q40" s="71"/>
      <c r="R40" s="71"/>
      <c r="S40" s="71"/>
      <c r="T40" s="71"/>
      <c r="U40" s="71"/>
      <c r="V40" s="71"/>
      <c r="W40" s="71"/>
      <c r="Y40" s="48" t="s">
        <v>65</v>
      </c>
      <c r="Z40" s="48" t="s">
        <v>42</v>
      </c>
      <c r="AA40" s="48" t="s">
        <v>122</v>
      </c>
      <c r="AB40" s="51">
        <f>數據!P39</f>
        <v>19.3</v>
      </c>
      <c r="AC40" s="86">
        <f>數據!P38</f>
        <v>19.84</v>
      </c>
      <c r="AD40" s="3" t="s">
        <v>24</v>
      </c>
      <c r="AE40" s="4" t="s">
        <v>39</v>
      </c>
      <c r="AF40" s="4" t="s">
        <v>135</v>
      </c>
      <c r="AG40" s="3">
        <f t="shared" si="1"/>
        <v>147</v>
      </c>
      <c r="AH40" s="3" t="s">
        <v>6</v>
      </c>
      <c r="AI40" s="71">
        <f>AG40*IF(AH40="G", 450, IF(AH40="D", 350, 0)) * IF(AF40="Y", 1.2, 1)*(INDEX(屬性克制表!$B$2:$T$20, MATCH(AE40, 屬性克制表!$A$2:$A$20, 0), MATCH($L$1, 屬性克制表!$B$1:$T$1, 0)) * INDEX(屬性克制表!$B$2:$T$20, MATCH(AE40, 屬性克制表!$A$2:$A$20, 0), MATCH($M$1, 屬性克制表!$B$1:$T$1, 0)))</f>
        <v>32156.25</v>
      </c>
      <c r="AJ40">
        <f>_xlfn.XLOOKUP(AD40, 數據!B$2:B$50, 數據!M$2:M$50)</f>
        <v>147</v>
      </c>
      <c r="AK40" s="48" t="s">
        <v>65</v>
      </c>
      <c r="AL40" s="74">
        <f>AB40/(INDEX(屬性克制表!$B$2:$T$20, MATCH($A$1, 屬性克制表!$A$2:$A$20, 0), MATCH(Z40, 屬性克制表!$B$1:$T$1, 0)) * INDEX(屬性克制表!$B$2:$T$20, MATCH($A$1, 屬性克制表!$A$2:$A$20, 0), MATCH(AA40, 屬性克制表!$B$1:$T$1, 0)))</f>
        <v>19.3</v>
      </c>
      <c r="AM40" s="48" t="s">
        <v>65</v>
      </c>
      <c r="AN40" s="56">
        <f>AB40/(INDEX(屬性克制表!$B$2:$T$20, MATCH($C$1, 屬性克制表!$A$2:$A$20, 0), MATCH(Z40, 屬性克制表!$B$1:$T$1, 0)) * INDEX(屬性克制表!$B$2:$T$20, MATCH($C$1, 屬性克制表!$A$2:$A$20, 0), MATCH(AA40, 屬性克制表!$B$1:$T$1, 0)))</f>
        <v>12.0625</v>
      </c>
      <c r="AO40" s="48" t="s">
        <v>65</v>
      </c>
      <c r="AP40" s="56">
        <f>AB40/(INDEX(屬性克制表!$B$2:$T$20, MATCH($E$1, 屬性克制表!$A$2:$A$20, 0), MATCH(Z40, 屬性克制表!$B$1:$T$1, 0)) * INDEX(屬性克制表!$B$2:$T$20, MATCH($E$1, 屬性克制表!$A$2:$A$20, 0), MATCH(AA40, 屬性克制表!$B$1:$T$1, 0)))</f>
        <v>12.0625</v>
      </c>
      <c r="AQ40" s="48" t="s">
        <v>65</v>
      </c>
      <c r="AR40" s="56">
        <f>AB40/(INDEX(屬性克制表!$B$2:$T$20, MATCH($G$1, 屬性克制表!$A$2:$A$20, 0), MATCH(Z40, 屬性克制表!$B$1:$T$1, 0)) * INDEX(屬性克制表!$B$2:$T$20, MATCH($G$1, 屬性克制表!$A$2:$A$20, 0), MATCH(AA40, 屬性克制表!$B$1:$T$1, 0)))</f>
        <v>30.880000000000003</v>
      </c>
    </row>
    <row r="41" spans="1:44">
      <c r="A41" s="81" t="str">
        <v>烏賊王</v>
      </c>
      <c r="B41" s="83">
        <v>23.998000000000001</v>
      </c>
      <c r="C41" s="81" t="str">
        <v>拉帝亞斯</v>
      </c>
      <c r="D41" s="83">
        <v>22.308</v>
      </c>
      <c r="E41" s="81" t="str">
        <v>艾路雷朵</v>
      </c>
      <c r="F41" s="83">
        <v>24.07</v>
      </c>
      <c r="G41" s="81" t="str">
        <v>冰伊布</v>
      </c>
      <c r="H41" s="83">
        <v>24.36</v>
      </c>
      <c r="I41" s="76"/>
      <c r="J41" s="48" t="str">
        <v>巨金怪</v>
      </c>
      <c r="K41" s="48" t="str">
        <v>鋼</v>
      </c>
      <c r="L41" s="48" t="str">
        <v>Y</v>
      </c>
      <c r="M41" s="48">
        <v>214</v>
      </c>
      <c r="N41" s="48" t="str">
        <v>D</v>
      </c>
      <c r="O41" s="79">
        <v>89880</v>
      </c>
      <c r="P41" s="91">
        <f t="shared" si="2"/>
        <v>0.41179187192118222</v>
      </c>
      <c r="Q41" s="71"/>
      <c r="R41" s="71"/>
      <c r="S41" s="71"/>
      <c r="T41" s="71"/>
      <c r="U41" s="71"/>
      <c r="V41" s="71"/>
      <c r="W41" s="71"/>
      <c r="Y41" s="48" t="s">
        <v>19</v>
      </c>
      <c r="Z41" s="48" t="s">
        <v>36</v>
      </c>
      <c r="AA41" s="48" t="s">
        <v>122</v>
      </c>
      <c r="AB41" s="51">
        <f>數據!P40</f>
        <v>19.431000000000001</v>
      </c>
      <c r="AC41" s="86">
        <f>數據!P39</f>
        <v>19.3</v>
      </c>
      <c r="AD41" s="3" t="s">
        <v>82</v>
      </c>
      <c r="AE41" s="4" t="s">
        <v>97</v>
      </c>
      <c r="AF41" s="4" t="s">
        <v>134</v>
      </c>
      <c r="AG41" s="3">
        <f t="shared" si="1"/>
        <v>158</v>
      </c>
      <c r="AH41" s="3" t="s">
        <v>6</v>
      </c>
      <c r="AI41" s="71">
        <f>AG41*IF(AH41="G", 450, IF(AH41="D", 350, 0)) * IF(AF41="Y", 1.2, 1)*(INDEX(屬性克制表!$B$2:$T$20, MATCH(AE41, 屬性克制表!$A$2:$A$20, 0), MATCH($L$1, 屬性克制表!$B$1:$T$1, 0)) * INDEX(屬性克制表!$B$2:$T$20, MATCH(AE41, 屬性克制表!$A$2:$A$20, 0), MATCH($M$1, 屬性克制表!$B$1:$T$1, 0)))</f>
        <v>106176</v>
      </c>
      <c r="AJ41">
        <f>_xlfn.XLOOKUP(AD41, 數據!B$2:B$50, 數據!M$2:M$50)</f>
        <v>158</v>
      </c>
      <c r="AK41" s="48" t="s">
        <v>19</v>
      </c>
      <c r="AL41" s="74">
        <f>AB41/(INDEX(屬性克制表!$B$2:$T$20, MATCH($A$1, 屬性克制表!$A$2:$A$20, 0), MATCH(Z41, 屬性克制表!$B$1:$T$1, 0)) * INDEX(屬性克制表!$B$2:$T$20, MATCH($A$1, 屬性克制表!$A$2:$A$20, 0), MATCH(AA41, 屬性克制表!$B$1:$T$1, 0)))</f>
        <v>19.431000000000001</v>
      </c>
      <c r="AM41" s="48" t="s">
        <v>19</v>
      </c>
      <c r="AN41" s="56">
        <f>AB41/(INDEX(屬性克制表!$B$2:$T$20, MATCH($C$1, 屬性克制表!$A$2:$A$20, 0), MATCH(Z41, 屬性克制表!$B$1:$T$1, 0)) * INDEX(屬性克制表!$B$2:$T$20, MATCH($C$1, 屬性克制表!$A$2:$A$20, 0), MATCH(AA41, 屬性克制表!$B$1:$T$1, 0)))</f>
        <v>19.431000000000001</v>
      </c>
      <c r="AO41" s="48" t="s">
        <v>19</v>
      </c>
      <c r="AP41" s="56">
        <f>AB41/(INDEX(屬性克制表!$B$2:$T$20, MATCH($E$1, 屬性克制表!$A$2:$A$20, 0), MATCH(Z41, 屬性克制表!$B$1:$T$1, 0)) * INDEX(屬性克制表!$B$2:$T$20, MATCH($E$1, 屬性克制表!$A$2:$A$20, 0), MATCH(AA41, 屬性克制表!$B$1:$T$1, 0)))</f>
        <v>31.089600000000001</v>
      </c>
      <c r="AQ41" s="48" t="s">
        <v>19</v>
      </c>
      <c r="AR41" s="56">
        <f>AB41/(INDEX(屬性克制表!$B$2:$T$20, MATCH($G$1, 屬性克制表!$A$2:$A$20, 0), MATCH(Z41, 屬性克制表!$B$1:$T$1, 0)) * INDEX(屬性克制表!$B$2:$T$20, MATCH($G$1, 屬性克制表!$A$2:$A$20, 0), MATCH(AA41, 屬性克制表!$B$1:$T$1, 0)))</f>
        <v>19.431000000000001</v>
      </c>
    </row>
    <row r="42" spans="1:44">
      <c r="A42" s="81" t="str">
        <v>炎帝</v>
      </c>
      <c r="B42" s="83">
        <v>23.552</v>
      </c>
      <c r="C42" s="81" t="str">
        <v>鐮刀盔</v>
      </c>
      <c r="D42" s="83">
        <v>21.172000000000001</v>
      </c>
      <c r="E42" s="81" t="str">
        <v>烏賊王</v>
      </c>
      <c r="F42" s="83">
        <v>23.998000000000001</v>
      </c>
      <c r="G42" s="81" t="str">
        <v>投擲猴</v>
      </c>
      <c r="H42" s="83">
        <v>24.103999999999999</v>
      </c>
      <c r="I42" s="76"/>
      <c r="J42" s="48" t="str">
        <v>武道熊師(連)</v>
      </c>
      <c r="K42" s="48" t="str">
        <v>格鬥</v>
      </c>
      <c r="L42" s="48" t="str">
        <v>Y</v>
      </c>
      <c r="M42" s="48">
        <v>210</v>
      </c>
      <c r="N42" s="48" t="str">
        <v>D</v>
      </c>
      <c r="O42" s="79">
        <v>88200</v>
      </c>
      <c r="P42" s="91">
        <f t="shared" si="2"/>
        <v>0.40409482758620685</v>
      </c>
      <c r="Q42" s="71"/>
      <c r="R42" s="71"/>
      <c r="S42" s="71"/>
      <c r="T42" s="71"/>
      <c r="U42" s="71"/>
      <c r="V42" s="71"/>
      <c r="W42" s="71"/>
      <c r="Y42" s="48" t="s">
        <v>92</v>
      </c>
      <c r="Z42" s="48" t="s">
        <v>77</v>
      </c>
      <c r="AA42" s="48" t="s">
        <v>80</v>
      </c>
      <c r="AB42" s="51">
        <f>數據!P41</f>
        <v>18.634</v>
      </c>
      <c r="AC42" s="86">
        <f>數據!P40</f>
        <v>19.431000000000001</v>
      </c>
      <c r="AD42" s="3" t="s">
        <v>82</v>
      </c>
      <c r="AE42" s="4" t="s">
        <v>45</v>
      </c>
      <c r="AF42" s="4" t="s">
        <v>134</v>
      </c>
      <c r="AG42" s="3">
        <f t="shared" si="1"/>
        <v>158</v>
      </c>
      <c r="AH42" s="3" t="s">
        <v>6</v>
      </c>
      <c r="AI42" s="71">
        <f>AG42*IF(AH42="G", 450, IF(AH42="D", 350, 0)) * IF(AF42="Y", 1.2, 1)*(INDEX(屬性克制表!$B$2:$T$20, MATCH(AE42, 屬性克制表!$A$2:$A$20, 0), MATCH($L$1, 屬性克制表!$B$1:$T$1, 0)) * INDEX(屬性克制表!$B$2:$T$20, MATCH(AE42, 屬性克制表!$A$2:$A$20, 0), MATCH($M$1, 屬性克制表!$B$1:$T$1, 0)))</f>
        <v>66360</v>
      </c>
      <c r="AJ42">
        <f>_xlfn.XLOOKUP(AD42, 數據!B$2:B$50, 數據!M$2:M$50)</f>
        <v>158</v>
      </c>
      <c r="AK42" s="48" t="s">
        <v>92</v>
      </c>
      <c r="AL42" s="74">
        <f>AB42/(INDEX(屬性克制表!$B$2:$T$20, MATCH($A$1, 屬性克制表!$A$2:$A$20, 0), MATCH(Z42, 屬性克制表!$B$1:$T$1, 0)) * INDEX(屬性克制表!$B$2:$T$20, MATCH($A$1, 屬性克制表!$A$2:$A$20, 0), MATCH(AA42, 屬性克制表!$B$1:$T$1, 0)))</f>
        <v>29.814399999999999</v>
      </c>
      <c r="AM42" s="48" t="s">
        <v>92</v>
      </c>
      <c r="AN42" s="56">
        <f>AB42/(INDEX(屬性克制表!$B$2:$T$20, MATCH($C$1, 屬性克制表!$A$2:$A$20, 0), MATCH(Z42, 屬性克制表!$B$1:$T$1, 0)) * INDEX(屬性克制表!$B$2:$T$20, MATCH($C$1, 屬性克制表!$A$2:$A$20, 0), MATCH(AA42, 屬性克制表!$B$1:$T$1, 0)))</f>
        <v>7.2789062499999986</v>
      </c>
      <c r="AO42" s="48" t="s">
        <v>92</v>
      </c>
      <c r="AP42" s="56">
        <f>AB42/(INDEX(屬性克制表!$B$2:$T$20, MATCH($E$1, 屬性克制表!$A$2:$A$20, 0), MATCH(Z42, 屬性克制表!$B$1:$T$1, 0)) * INDEX(屬性克制表!$B$2:$T$20, MATCH($E$1, 屬性克制表!$A$2:$A$20, 0), MATCH(AA42, 屬性克制表!$B$1:$T$1, 0)))</f>
        <v>18.634</v>
      </c>
      <c r="AQ42" s="48" t="s">
        <v>92</v>
      </c>
      <c r="AR42" s="56">
        <f>AB42/(INDEX(屬性克制表!$B$2:$T$20, MATCH($G$1, 屬性克制表!$A$2:$A$20, 0), MATCH(Z42, 屬性克制表!$B$1:$T$1, 0)) * INDEX(屬性克制表!$B$2:$T$20, MATCH($G$1, 屬性克制表!$A$2:$A$20, 0), MATCH(AA42, 屬性克制表!$B$1:$T$1, 0)))</f>
        <v>29.814399999999999</v>
      </c>
    </row>
    <row r="43" spans="1:44">
      <c r="A43" s="81" t="str">
        <v>月亮伊布</v>
      </c>
      <c r="B43" s="83">
        <v>22.977499999999999</v>
      </c>
      <c r="C43" s="81" t="str">
        <v>太陽伊布</v>
      </c>
      <c r="D43" s="83">
        <v>21</v>
      </c>
      <c r="E43" s="81" t="str">
        <v>灰塵山</v>
      </c>
      <c r="F43" s="83">
        <v>22.68</v>
      </c>
      <c r="G43" s="81" t="str">
        <v>沙奈朵</v>
      </c>
      <c r="H43" s="83">
        <v>24.07</v>
      </c>
      <c r="I43" s="76"/>
      <c r="J43" s="48" t="str">
        <v>怪力</v>
      </c>
      <c r="K43" s="48" t="str">
        <v>格鬥</v>
      </c>
      <c r="L43" s="48" t="str">
        <v>Y</v>
      </c>
      <c r="M43" s="48">
        <v>201</v>
      </c>
      <c r="N43" s="48" t="str">
        <v>D</v>
      </c>
      <c r="O43" s="79">
        <v>84420</v>
      </c>
      <c r="P43" s="91">
        <f t="shared" si="2"/>
        <v>0.38677647783251223</v>
      </c>
      <c r="Q43" s="71"/>
      <c r="R43" s="71"/>
      <c r="S43" s="71"/>
      <c r="T43" s="71"/>
      <c r="U43" s="71"/>
      <c r="V43" s="71"/>
      <c r="W43" s="71"/>
      <c r="Y43" s="48" t="s">
        <v>17</v>
      </c>
      <c r="Z43" s="48" t="s">
        <v>36</v>
      </c>
      <c r="AA43" s="48" t="s">
        <v>122</v>
      </c>
      <c r="AB43" s="51">
        <f>數據!P42</f>
        <v>18.081</v>
      </c>
      <c r="AC43" s="86">
        <f>數據!P41</f>
        <v>18.634</v>
      </c>
      <c r="AD43" s="3" t="s">
        <v>25</v>
      </c>
      <c r="AE43" s="4" t="s">
        <v>39</v>
      </c>
      <c r="AF43" s="4" t="s">
        <v>135</v>
      </c>
      <c r="AG43" s="3">
        <f t="shared" si="1"/>
        <v>145</v>
      </c>
      <c r="AH43" s="3" t="s">
        <v>6</v>
      </c>
      <c r="AI43" s="71">
        <f>AG43*IF(AH43="G", 450, IF(AH43="D", 350, 0)) * IF(AF43="Y", 1.2, 1)*(INDEX(屬性克制表!$B$2:$T$20, MATCH(AE43, 屬性克制表!$A$2:$A$20, 0), MATCH($L$1, 屬性克制表!$B$1:$T$1, 0)) * INDEX(屬性克制表!$B$2:$T$20, MATCH(AE43, 屬性克制表!$A$2:$A$20, 0), MATCH($M$1, 屬性克制表!$B$1:$T$1, 0)))</f>
        <v>31718.75</v>
      </c>
      <c r="AJ43">
        <f>_xlfn.XLOOKUP(AD43, 數據!B$2:B$50, 數據!M$2:M$50)</f>
        <v>145</v>
      </c>
      <c r="AK43" s="48" t="s">
        <v>17</v>
      </c>
      <c r="AL43" s="74">
        <f>AB43/(INDEX(屬性克制表!$B$2:$T$20, MATCH($A$1, 屬性克制表!$A$2:$A$20, 0), MATCH(Z43, 屬性克制表!$B$1:$T$1, 0)) * INDEX(屬性克制表!$B$2:$T$20, MATCH($A$1, 屬性克制表!$A$2:$A$20, 0), MATCH(AA43, 屬性克制表!$B$1:$T$1, 0)))</f>
        <v>18.081</v>
      </c>
      <c r="AM43" s="48" t="s">
        <v>17</v>
      </c>
      <c r="AN43" s="56">
        <f>AB43/(INDEX(屬性克制表!$B$2:$T$20, MATCH($C$1, 屬性克制表!$A$2:$A$20, 0), MATCH(Z43, 屬性克制表!$B$1:$T$1, 0)) * INDEX(屬性克制表!$B$2:$T$20, MATCH($C$1, 屬性克制表!$A$2:$A$20, 0), MATCH(AA43, 屬性克制表!$B$1:$T$1, 0)))</f>
        <v>18.081</v>
      </c>
      <c r="AO43" s="48" t="s">
        <v>17</v>
      </c>
      <c r="AP43" s="56">
        <f>AB43/(INDEX(屬性克制表!$B$2:$T$20, MATCH($E$1, 屬性克制表!$A$2:$A$20, 0), MATCH(Z43, 屬性克制表!$B$1:$T$1, 0)) * INDEX(屬性克制表!$B$2:$T$20, MATCH($E$1, 屬性克制表!$A$2:$A$20, 0), MATCH(AA43, 屬性克制表!$B$1:$T$1, 0)))</f>
        <v>28.929600000000001</v>
      </c>
      <c r="AQ43" s="48" t="s">
        <v>17</v>
      </c>
      <c r="AR43" s="56">
        <f>AB43/(INDEX(屬性克制表!$B$2:$T$20, MATCH($G$1, 屬性克制表!$A$2:$A$20, 0), MATCH(Z43, 屬性克制表!$B$1:$T$1, 0)) * INDEX(屬性克制表!$B$2:$T$20, MATCH($G$1, 屬性克制表!$A$2:$A$20, 0), MATCH(AA43, 屬性克制表!$B$1:$T$1, 0)))</f>
        <v>18.081</v>
      </c>
    </row>
    <row r="44" spans="1:44">
      <c r="A44" s="81" t="str">
        <v>吼鯨王</v>
      </c>
      <c r="B44" s="83">
        <v>22.88</v>
      </c>
      <c r="C44" s="81" t="str">
        <v>布莉姆溫</v>
      </c>
      <c r="D44" s="83">
        <v>19.84</v>
      </c>
      <c r="E44" s="81" t="str">
        <v>超極巨灰塵山</v>
      </c>
      <c r="F44" s="83">
        <v>22.4</v>
      </c>
      <c r="G44" s="81" t="str">
        <v>艾路雷朵</v>
      </c>
      <c r="H44" s="83">
        <v>24.07</v>
      </c>
      <c r="I44" s="76"/>
      <c r="J44" s="48" t="str">
        <v>鋁鋼龍</v>
      </c>
      <c r="K44" s="48" t="str">
        <v>鋼</v>
      </c>
      <c r="L44" s="48" t="str">
        <v>Y</v>
      </c>
      <c r="M44" s="48">
        <v>201</v>
      </c>
      <c r="N44" s="48" t="str">
        <v>D</v>
      </c>
      <c r="O44" s="79">
        <v>84420</v>
      </c>
      <c r="P44" s="91">
        <f t="shared" si="2"/>
        <v>0.38677647783251223</v>
      </c>
      <c r="Q44" s="71"/>
      <c r="R44" s="71"/>
      <c r="S44" s="71"/>
      <c r="T44" s="71"/>
      <c r="U44" s="71"/>
      <c r="V44" s="71"/>
      <c r="W44" s="71"/>
      <c r="Y44" s="48" t="s">
        <v>48</v>
      </c>
      <c r="Z44" s="66" t="s">
        <v>72</v>
      </c>
      <c r="AA44" s="66" t="s">
        <v>80</v>
      </c>
      <c r="AB44" s="51">
        <f>數據!P43</f>
        <v>18.224</v>
      </c>
      <c r="AC44" s="86">
        <f>數據!P42</f>
        <v>18.081</v>
      </c>
      <c r="AD44" s="3" t="s">
        <v>58</v>
      </c>
      <c r="AE44" s="3" t="s">
        <v>43</v>
      </c>
      <c r="AF44" s="3" t="s">
        <v>134</v>
      </c>
      <c r="AG44" s="3">
        <f t="shared" si="1"/>
        <v>188</v>
      </c>
      <c r="AH44" s="3" t="s">
        <v>6</v>
      </c>
      <c r="AI44" s="71">
        <f>AG44*IF(AH44="G", 450, IF(AH44="D", 350, 0)) * IF(AF44="Y", 1.2, 1)*(INDEX(屬性克制表!$B$2:$T$20, MATCH(AE44, 屬性克制表!$A$2:$A$20, 0), MATCH($L$1, 屬性克制表!$B$1:$T$1, 0)) * INDEX(屬性克制表!$B$2:$T$20, MATCH(AE44, 屬性克制表!$A$2:$A$20, 0), MATCH($M$1, 屬性克制表!$B$1:$T$1, 0)))</f>
        <v>202137.60000000003</v>
      </c>
      <c r="AJ44">
        <f>_xlfn.XLOOKUP(AD44, 數據!B$2:B$50, 數據!M$2:M$50)</f>
        <v>188</v>
      </c>
      <c r="AK44" s="48" t="s">
        <v>48</v>
      </c>
      <c r="AL44" s="74">
        <f>AB44/(INDEX(屬性克制表!$B$2:$T$20, MATCH($A$1, 屬性克制表!$A$2:$A$20, 0), MATCH(Z44, 屬性克制表!$B$1:$T$1, 0)) * INDEX(屬性克制表!$B$2:$T$20, MATCH($A$1, 屬性克制表!$A$2:$A$20, 0), MATCH(AA44, 屬性克制表!$B$1:$T$1, 0)))</f>
        <v>74.573913043478257</v>
      </c>
      <c r="AM44" s="48" t="s">
        <v>48</v>
      </c>
      <c r="AN44" s="56">
        <f>AB44/(INDEX(屬性克制表!$B$2:$T$20, MATCH($C$1, 屬性克制表!$A$2:$A$20, 0), MATCH(Z44, 屬性克制表!$B$1:$T$1, 0)) * INDEX(屬性克制表!$B$2:$T$20, MATCH($C$1, 屬性克制表!$A$2:$A$20, 0), MATCH(AA44, 屬性克制表!$B$1:$T$1, 0)))</f>
        <v>11.389999999999999</v>
      </c>
      <c r="AO44" s="48" t="s">
        <v>48</v>
      </c>
      <c r="AP44" s="56">
        <f>AB44/(INDEX(屬性克制表!$B$2:$T$20, MATCH($E$1, 屬性克制表!$A$2:$A$20, 0), MATCH(Z44, 屬性克制表!$B$1:$T$1, 0)) * INDEX(屬性克制表!$B$2:$T$20, MATCH($E$1, 屬性克制表!$A$2:$A$20, 0), MATCH(AA44, 屬性克制表!$B$1:$T$1, 0)))</f>
        <v>18.224</v>
      </c>
      <c r="AQ44" s="48" t="s">
        <v>48</v>
      </c>
      <c r="AR44" s="56">
        <f>AB44/(INDEX(屬性克制表!$B$2:$T$20, MATCH($G$1, 屬性克制表!$A$2:$A$20, 0), MATCH(Z44, 屬性克制表!$B$1:$T$1, 0)) * INDEX(屬性克制表!$B$2:$T$20, MATCH($G$1, 屬性克制表!$A$2:$A$20, 0), MATCH(AA44, 屬性克制表!$B$1:$T$1, 0)))</f>
        <v>29.1584</v>
      </c>
    </row>
    <row r="45" spans="1:44">
      <c r="A45" s="81" t="str">
        <v>勾魂眼</v>
      </c>
      <c r="B45" s="83">
        <v>21.879795396419436</v>
      </c>
      <c r="C45" s="81" t="str">
        <v>列陣兵</v>
      </c>
      <c r="D45" s="83">
        <v>19.591000000000001</v>
      </c>
      <c r="E45" s="81" t="str">
        <v>雷伊布</v>
      </c>
      <c r="F45" s="83">
        <v>21.84</v>
      </c>
      <c r="G45" s="81" t="str">
        <v>鋁鋼龍</v>
      </c>
      <c r="H45" s="83">
        <v>23.225999999999999</v>
      </c>
      <c r="I45" s="76"/>
      <c r="J45" s="48" t="str">
        <v>鋁鋼龍</v>
      </c>
      <c r="K45" s="48" t="str">
        <v>龍</v>
      </c>
      <c r="L45" s="48" t="str">
        <v>Y</v>
      </c>
      <c r="M45" s="48">
        <v>201</v>
      </c>
      <c r="N45" s="48" t="str">
        <v>D</v>
      </c>
      <c r="O45" s="79">
        <v>84420</v>
      </c>
      <c r="P45" s="91">
        <f t="shared" si="2"/>
        <v>0.38677647783251223</v>
      </c>
      <c r="Q45" s="71"/>
      <c r="R45" s="71"/>
      <c r="S45" s="71"/>
      <c r="T45" s="71"/>
      <c r="U45" s="71"/>
      <c r="V45" s="71"/>
      <c r="W45" s="71"/>
      <c r="Y45" s="48" t="s">
        <v>34</v>
      </c>
      <c r="Z45" s="48" t="s">
        <v>46</v>
      </c>
      <c r="AA45" s="48" t="s">
        <v>96</v>
      </c>
      <c r="AB45" s="51">
        <f>數據!P44</f>
        <v>15.827</v>
      </c>
      <c r="AC45" s="86">
        <f>數據!P43</f>
        <v>18.224</v>
      </c>
      <c r="AD45" s="3" t="s">
        <v>92</v>
      </c>
      <c r="AE45" s="3" t="s">
        <v>80</v>
      </c>
      <c r="AF45" s="3" t="s">
        <v>134</v>
      </c>
      <c r="AG45" s="3">
        <f t="shared" si="1"/>
        <v>188</v>
      </c>
      <c r="AH45" s="3" t="s">
        <v>6</v>
      </c>
      <c r="AI45" s="71">
        <f>AG45*IF(AH45="G", 450, IF(AH45="D", 350, 0)) * IF(AF45="Y", 1.2, 1)*(INDEX(屬性克制表!$B$2:$T$20, MATCH(AE45, 屬性克制表!$A$2:$A$20, 0), MATCH($L$1, 屬性克制表!$B$1:$T$1, 0)) * INDEX(屬性克制表!$B$2:$T$20, MATCH(AE45, 屬性克制表!$A$2:$A$20, 0), MATCH($M$1, 屬性克制表!$B$1:$T$1, 0)))</f>
        <v>126336</v>
      </c>
      <c r="AJ45">
        <f>_xlfn.XLOOKUP(AD45, 數據!B$2:B$50, 數據!M$2:M$50)</f>
        <v>188</v>
      </c>
      <c r="AK45" s="48" t="s">
        <v>34</v>
      </c>
      <c r="AL45" s="74">
        <f>AB45/(INDEX(屬性克制表!$B$2:$T$20, MATCH($A$1, 屬性克制表!$A$2:$A$20, 0), MATCH(Z45, 屬性克制表!$B$1:$T$1, 0)) * INDEX(屬性克制表!$B$2:$T$20, MATCH($A$1, 屬性克制表!$A$2:$A$20, 0), MATCH(AA45, 屬性克制表!$B$1:$T$1, 0)))</f>
        <v>40.517119999999998</v>
      </c>
      <c r="AM45" s="48" t="s">
        <v>34</v>
      </c>
      <c r="AN45" s="56">
        <f>AB45/(INDEX(屬性克制表!$B$2:$T$20, MATCH($C$1, 屬性克制表!$A$2:$A$20, 0), MATCH(Z45, 屬性克制表!$B$1:$T$1, 0)) * INDEX(屬性克制表!$B$2:$T$20, MATCH($C$1, 屬性克制表!$A$2:$A$20, 0), MATCH(AA45, 屬性克制表!$B$1:$T$1, 0)))</f>
        <v>64.765217391304347</v>
      </c>
      <c r="AO45" s="48" t="s">
        <v>34</v>
      </c>
      <c r="AP45" s="56">
        <f>AB45/(INDEX(屬性克制表!$B$2:$T$20, MATCH($E$1, 屬性克制表!$A$2:$A$20, 0), MATCH(Z45, 屬性克制表!$B$1:$T$1, 0)) * INDEX(屬性克制表!$B$2:$T$20, MATCH($E$1, 屬性克制表!$A$2:$A$20, 0), MATCH(AA45, 屬性克制表!$B$1:$T$1, 0)))</f>
        <v>15.827</v>
      </c>
      <c r="AQ45" s="48" t="s">
        <v>34</v>
      </c>
      <c r="AR45" s="56">
        <f>AB45/(INDEX(屬性克制表!$B$2:$T$20, MATCH($G$1, 屬性克制表!$A$2:$A$20, 0), MATCH(Z45, 屬性克制表!$B$1:$T$1, 0)) * INDEX(屬性克制表!$B$2:$T$20, MATCH($G$1, 屬性克制表!$A$2:$A$20, 0), MATCH(AA45, 屬性克制表!$B$1:$T$1, 0)))</f>
        <v>15.827</v>
      </c>
    </row>
    <row r="46" spans="1:44">
      <c r="A46" s="81" t="str">
        <v>雷伊布</v>
      </c>
      <c r="B46" s="83">
        <v>21.84</v>
      </c>
      <c r="C46" s="81" t="str">
        <v>巨鉗蟹</v>
      </c>
      <c r="D46" s="83">
        <v>19.431000000000001</v>
      </c>
      <c r="E46" s="81" t="str">
        <v>壺壺</v>
      </c>
      <c r="F46" s="83">
        <v>21.037499999999998</v>
      </c>
      <c r="G46" s="81" t="str">
        <v>月亮伊布</v>
      </c>
      <c r="H46" s="83">
        <v>22.977499999999999</v>
      </c>
      <c r="I46" s="76"/>
      <c r="J46" s="48" t="str">
        <v>沙奈朵</v>
      </c>
      <c r="K46" s="48" t="str">
        <v>妖精</v>
      </c>
      <c r="L46" s="48" t="str">
        <v>Y</v>
      </c>
      <c r="M46" s="48">
        <v>199</v>
      </c>
      <c r="N46" s="48" t="str">
        <v>D</v>
      </c>
      <c r="O46" s="79">
        <v>83580</v>
      </c>
      <c r="P46" s="91">
        <f t="shared" si="2"/>
        <v>0.38292795566502458</v>
      </c>
      <c r="Q46" s="71"/>
      <c r="R46" s="71"/>
      <c r="S46" s="71"/>
      <c r="T46" s="71"/>
      <c r="U46" s="71"/>
      <c r="V46" s="71"/>
      <c r="W46" s="71"/>
      <c r="Y46" s="48" t="s">
        <v>50</v>
      </c>
      <c r="Z46" s="48" t="s">
        <v>72</v>
      </c>
      <c r="AA46" s="48" t="s">
        <v>37</v>
      </c>
      <c r="AB46" s="51">
        <f>數據!P45</f>
        <v>13.688000000000001</v>
      </c>
      <c r="AC46" s="86">
        <f>數據!P44</f>
        <v>15.827</v>
      </c>
      <c r="AD46" s="3" t="s">
        <v>0</v>
      </c>
      <c r="AE46" s="3" t="s">
        <v>43</v>
      </c>
      <c r="AF46" s="3" t="s">
        <v>134</v>
      </c>
      <c r="AG46" s="3">
        <f t="shared" si="1"/>
        <v>187</v>
      </c>
      <c r="AH46" s="3" t="s">
        <v>6</v>
      </c>
      <c r="AI46" s="71">
        <f>AG46*IF(AH46="G", 450, IF(AH46="D", 350, 0)) * IF(AF46="Y", 1.2, 1)*(INDEX(屬性克制表!$B$2:$T$20, MATCH(AE46, 屬性克制表!$A$2:$A$20, 0), MATCH($L$1, 屬性克制表!$B$1:$T$1, 0)) * INDEX(屬性克制表!$B$2:$T$20, MATCH(AE46, 屬性克制表!$A$2:$A$20, 0), MATCH($M$1, 屬性克制表!$B$1:$T$1, 0)))</f>
        <v>201062.40000000005</v>
      </c>
      <c r="AJ46">
        <f>_xlfn.XLOOKUP(AD46, 數據!B$2:B$50, 數據!M$2:M$50)</f>
        <v>187</v>
      </c>
      <c r="AK46" s="48" t="s">
        <v>50</v>
      </c>
      <c r="AL46" s="74">
        <f>AB46/(INDEX(屬性克制表!$B$2:$T$20, MATCH($A$1, 屬性克制表!$A$2:$A$20, 0), MATCH(Z46, 屬性克制表!$B$1:$T$1, 0)) * INDEX(屬性克制表!$B$2:$T$20, MATCH($A$1, 屬性克制表!$A$2:$A$20, 0), MATCH(AA46, 屬性克制表!$B$1:$T$1, 0)))</f>
        <v>21.879795396419436</v>
      </c>
      <c r="AM46" s="53" t="s">
        <v>50</v>
      </c>
      <c r="AN46" s="56">
        <f>AB46/(INDEX(屬性克制表!$B$2:$T$20, MATCH($C$1, 屬性克制表!$A$2:$A$20, 0), MATCH(Z46, 屬性克制表!$B$1:$T$1, 0)) * INDEX(屬性克制表!$B$2:$T$20, MATCH($C$1, 屬性克制表!$A$2:$A$20, 0), MATCH(AA46, 屬性克制表!$B$1:$T$1, 0)))</f>
        <v>13.688000000000001</v>
      </c>
      <c r="AO46" s="53" t="s">
        <v>50</v>
      </c>
      <c r="AP46" s="56">
        <f>AB46/(INDEX(屬性克制表!$B$2:$T$20, MATCH($E$1, 屬性克制表!$A$2:$A$20, 0), MATCH(Z46, 屬性克制表!$B$1:$T$1, 0)) * INDEX(屬性克制表!$B$2:$T$20, MATCH($E$1, 屬性克制表!$A$2:$A$20, 0), MATCH(AA46, 屬性克制表!$B$1:$T$1, 0)))</f>
        <v>13.688000000000001</v>
      </c>
      <c r="AQ46" s="53" t="s">
        <v>50</v>
      </c>
      <c r="AR46" s="56">
        <f>AB46/(INDEX(屬性克制表!$B$2:$T$20, MATCH($G$1, 屬性克制表!$A$2:$A$20, 0), MATCH(Z46, 屬性克制表!$B$1:$T$1, 0)) * INDEX(屬性克制表!$B$2:$T$20, MATCH($G$1, 屬性克制表!$A$2:$A$20, 0), MATCH(AA46, 屬性克制表!$B$1:$T$1, 0)))</f>
        <v>8.5549999999999997</v>
      </c>
    </row>
    <row r="47" spans="1:44">
      <c r="A47" s="81" t="str">
        <v>火伊布</v>
      </c>
      <c r="B47" s="83">
        <v>21.42</v>
      </c>
      <c r="C47" s="81" t="str">
        <v>巨金怪</v>
      </c>
      <c r="D47" s="83">
        <v>19.018124999999998</v>
      </c>
      <c r="E47" s="81" t="str">
        <v>太陽伊布</v>
      </c>
      <c r="F47" s="83">
        <v>21</v>
      </c>
      <c r="G47" s="81" t="str">
        <v>吼鯨王</v>
      </c>
      <c r="H47" s="83">
        <v>22.88</v>
      </c>
      <c r="J47" s="48" t="str">
        <v>艾路雷朵</v>
      </c>
      <c r="K47" s="48" t="str">
        <v>格鬥</v>
      </c>
      <c r="L47" s="48" t="str">
        <v>Y</v>
      </c>
      <c r="M47" s="48">
        <v>199</v>
      </c>
      <c r="N47" s="48" t="str">
        <v>D</v>
      </c>
      <c r="O47" s="79">
        <v>83580</v>
      </c>
      <c r="P47" s="91">
        <f t="shared" si="2"/>
        <v>0.38292795566502458</v>
      </c>
      <c r="Q47" s="71"/>
      <c r="R47" s="71"/>
      <c r="S47" s="71"/>
      <c r="T47" s="71"/>
      <c r="U47" s="71"/>
      <c r="V47" s="71"/>
      <c r="W47" s="71"/>
      <c r="Y47" s="87" t="str">
        <f>數據!B46</f>
        <v>胡地</v>
      </c>
      <c r="Z47" s="87" t="str">
        <f>數據!C46</f>
        <v>超能力</v>
      </c>
      <c r="AA47" s="87" t="str">
        <f>數據!D46</f>
        <v>無</v>
      </c>
      <c r="AB47" s="51">
        <f>數據!P46</f>
        <v>18.288</v>
      </c>
      <c r="AC47" s="86">
        <f>數據!P45</f>
        <v>13.688000000000001</v>
      </c>
      <c r="AD47" s="4" t="s">
        <v>0</v>
      </c>
      <c r="AE47" s="3" t="s">
        <v>100</v>
      </c>
      <c r="AF47" s="3" t="s">
        <v>134</v>
      </c>
      <c r="AG47" s="3">
        <f t="shared" si="1"/>
        <v>187</v>
      </c>
      <c r="AH47" s="7" t="s">
        <v>6</v>
      </c>
      <c r="AI47" s="71">
        <f>AG47*IF(AH47="G", 450, IF(AH47="D", 350, 0)) * IF(AF47="Y", 1.2, 1)*(INDEX(屬性克制表!$B$2:$T$20, MATCH(AE47, 屬性克制表!$A$2:$A$20, 0), MATCH($L$1, 屬性克制表!$B$1:$T$1, 0)) * INDEX(屬性克制表!$B$2:$T$20, MATCH(AE47, 屬性克制表!$A$2:$A$20, 0), MATCH($M$1, 屬性克制表!$B$1:$T$1, 0)))</f>
        <v>125664</v>
      </c>
      <c r="AJ47">
        <f>_xlfn.XLOOKUP(AD47, 數據!B$2:B$50, 數據!M$2:M$50)</f>
        <v>187</v>
      </c>
      <c r="AK47" s="79" t="str">
        <f t="shared" ref="AK47:AK62" si="3">Y47</f>
        <v>胡地</v>
      </c>
      <c r="AL47" s="74">
        <f>AB47/(INDEX(屬性克制表!$B$2:$T$20, MATCH($A$1, 屬性克制表!$A$2:$A$20, 0), MATCH(Z47, 屬性克制表!$B$1:$T$1, 0)) * INDEX(屬性克制表!$B$2:$T$20, MATCH($A$1, 屬性克制表!$A$2:$A$20, 0), MATCH(AA47, 屬性克制表!$B$1:$T$1, 0)))</f>
        <v>29.2608</v>
      </c>
      <c r="AM47" s="79" t="str">
        <f t="shared" ref="AM47:AM62" si="4">Y47</f>
        <v>胡地</v>
      </c>
      <c r="AN47" s="56">
        <f>AB47/(INDEX(屬性克制表!$B$2:$T$20, MATCH($C$1, 屬性克制表!$A$2:$A$20, 0), MATCH(Z47, 屬性克制表!$B$1:$T$1, 0)) * INDEX(屬性克制表!$B$2:$T$20, MATCH($C$1, 屬性克制表!$A$2:$A$20, 0), MATCH(AA47, 屬性克制表!$B$1:$T$1, 0)))</f>
        <v>18.288</v>
      </c>
      <c r="AO47" s="79" t="str">
        <f t="shared" ref="AO47:AO62" si="5">Y47</f>
        <v>胡地</v>
      </c>
      <c r="AP47" s="56">
        <f>AB47/(INDEX(屬性克制表!$B$2:$T$20, MATCH($E$1, 屬性克制表!$A$2:$A$20, 0), MATCH(Z47, 屬性克制表!$B$1:$T$1, 0)) * INDEX(屬性克制表!$B$2:$T$20, MATCH($E$1, 屬性克制表!$A$2:$A$20, 0), MATCH(AA47, 屬性克制表!$B$1:$T$1, 0)))</f>
        <v>18.288</v>
      </c>
      <c r="AQ47" s="79" t="str">
        <f t="shared" ref="AQ47:AQ62" si="6">Y47</f>
        <v>胡地</v>
      </c>
      <c r="AR47" s="56">
        <f>AB47/(INDEX(屬性克制表!$B$2:$T$20, MATCH($G$1, 屬性克制表!$A$2:$A$20, 0), MATCH(Z47, 屬性克制表!$B$1:$T$1, 0)) * INDEX(屬性克制表!$B$2:$T$20, MATCH($G$1, 屬性克制表!$A$2:$A$20, 0), MATCH(AA47, 屬性克制表!$B$1:$T$1, 0)))</f>
        <v>18.288</v>
      </c>
    </row>
    <row r="48" spans="1:44">
      <c r="A48" s="81" t="str">
        <v>鐮刀盔</v>
      </c>
      <c r="B48" s="83">
        <v>21.172000000000001</v>
      </c>
      <c r="C48" s="81" t="str">
        <v>胡地</v>
      </c>
      <c r="D48" s="83">
        <v>18.288</v>
      </c>
      <c r="E48" s="81" t="str">
        <v>高傲雉雞</v>
      </c>
      <c r="F48" s="83">
        <v>20.32</v>
      </c>
      <c r="G48" s="81" t="str">
        <v>雷伊布</v>
      </c>
      <c r="H48" s="83">
        <v>21.84</v>
      </c>
      <c r="J48" s="48" t="str">
        <v>布莉姆溫</v>
      </c>
      <c r="K48" s="48" t="str">
        <v>妖精</v>
      </c>
      <c r="L48" s="48" t="str">
        <v>Y</v>
      </c>
      <c r="M48" s="48">
        <v>198</v>
      </c>
      <c r="N48" s="48" t="str">
        <v>D</v>
      </c>
      <c r="O48" s="79">
        <v>83160</v>
      </c>
      <c r="P48" s="91">
        <f t="shared" si="2"/>
        <v>0.38100369458128075</v>
      </c>
      <c r="Q48" s="71"/>
      <c r="R48" s="71"/>
      <c r="S48" s="71"/>
      <c r="T48" s="71"/>
      <c r="U48" s="71"/>
      <c r="V48" s="71"/>
      <c r="W48" s="71"/>
      <c r="X48" s="71"/>
      <c r="Y48" s="87" t="str">
        <f>數據!B47</f>
        <v>鋁鋼龍</v>
      </c>
      <c r="Z48" s="87" t="str">
        <f>數據!C47</f>
        <v>鋼</v>
      </c>
      <c r="AA48" s="87" t="str">
        <f>數據!D47</f>
        <v>龍</v>
      </c>
      <c r="AB48" s="51">
        <f>數據!P47</f>
        <v>23.225999999999999</v>
      </c>
      <c r="AD48" s="3" t="s">
        <v>48</v>
      </c>
      <c r="AE48" s="4" t="s">
        <v>37</v>
      </c>
      <c r="AF48" s="4" t="s">
        <v>135</v>
      </c>
      <c r="AG48" s="3">
        <f t="shared" si="1"/>
        <v>223</v>
      </c>
      <c r="AH48" s="3" t="s">
        <v>6</v>
      </c>
      <c r="AI48" s="71">
        <f>AG48*IF(AH48="G", 450, IF(AH48="D", 350, 0)) * IF(AF48="Y", 1.2, 1)*(INDEX(屬性克制表!$B$2:$T$20, MATCH(AE48, 屬性克制表!$A$2:$A$20, 0), MATCH($L$1, 屬性克制表!$B$1:$T$1, 0)) * INDEX(屬性克制表!$B$2:$T$20, MATCH(AE48, 屬性克制表!$A$2:$A$20, 0), MATCH($M$1, 屬性克制表!$B$1:$T$1, 0)))</f>
        <v>48781.25</v>
      </c>
      <c r="AJ48">
        <f>_xlfn.XLOOKUP(AD48, 數據!B$2:B$50, 數據!M$2:M$50)</f>
        <v>223</v>
      </c>
      <c r="AK48" s="88" t="str">
        <f t="shared" si="3"/>
        <v>鋁鋼龍</v>
      </c>
      <c r="AL48" s="74">
        <f>AB48/(INDEX(屬性克制表!$B$2:$T$20, MATCH($A$1, 屬性克制表!$A$2:$A$20, 0), MATCH(Z48, 屬性克制表!$B$1:$T$1, 0)) * INDEX(屬性克制表!$B$2:$T$20, MATCH($A$1, 屬性克制表!$A$2:$A$20, 0), MATCH(AA48, 屬性克制表!$B$1:$T$1, 0)))</f>
        <v>14.516249999999999</v>
      </c>
      <c r="AM48" s="88" t="str">
        <f t="shared" si="4"/>
        <v>鋁鋼龍</v>
      </c>
      <c r="AN48" s="56">
        <f>AB48/(INDEX(屬性克制表!$B$2:$T$20, MATCH($C$1, 屬性克制表!$A$2:$A$20, 0), MATCH(Z48, 屬性克制表!$B$1:$T$1, 0)) * INDEX(屬性克制表!$B$2:$T$20, MATCH($C$1, 屬性克制表!$A$2:$A$20, 0), MATCH(AA48, 屬性克制表!$B$1:$T$1, 0)))</f>
        <v>14.516249999999999</v>
      </c>
      <c r="AO48" s="88" t="str">
        <f t="shared" si="5"/>
        <v>鋁鋼龍</v>
      </c>
      <c r="AP48" s="56">
        <f>AB48/(INDEX(屬性克制表!$B$2:$T$20, MATCH($E$1, 屬性克制表!$A$2:$A$20, 0), MATCH(Z48, 屬性克制表!$B$1:$T$1, 0)) * INDEX(屬性克制表!$B$2:$T$20, MATCH($E$1, 屬性克制表!$A$2:$A$20, 0), MATCH(AA48, 屬性克制表!$B$1:$T$1, 0)))</f>
        <v>37.1616</v>
      </c>
      <c r="AQ48" s="88" t="str">
        <f t="shared" si="6"/>
        <v>鋁鋼龍</v>
      </c>
      <c r="AR48" s="56">
        <f>AB48/(INDEX(屬性克制表!$B$2:$T$20, MATCH($G$1, 屬性克制表!$A$2:$A$20, 0), MATCH(Z48, 屬性克制表!$B$1:$T$1, 0)) * INDEX(屬性克制表!$B$2:$T$20, MATCH($G$1, 屬性克制表!$A$2:$A$20, 0), MATCH(AA48, 屬性克制表!$B$1:$T$1, 0)))</f>
        <v>23.225999999999999</v>
      </c>
    </row>
    <row r="49" spans="1:44">
      <c r="A49" s="81" t="str">
        <v>拉普拉斯</v>
      </c>
      <c r="B49" s="83">
        <v>21.131250000000001</v>
      </c>
      <c r="C49" s="81" t="str">
        <v>千面避役</v>
      </c>
      <c r="D49" s="83">
        <v>18.081</v>
      </c>
      <c r="E49" s="81" t="str">
        <v>布莉姆溫</v>
      </c>
      <c r="F49" s="83">
        <v>19.84</v>
      </c>
      <c r="G49" s="81" t="str">
        <v>鐮刀盔</v>
      </c>
      <c r="H49" s="83">
        <v>21.172000000000001</v>
      </c>
      <c r="J49" s="48" t="str">
        <v>吼鯨王</v>
      </c>
      <c r="K49" s="48" t="str">
        <v>超能力</v>
      </c>
      <c r="L49" s="48" t="str">
        <v>N</v>
      </c>
      <c r="M49" s="48">
        <v>147</v>
      </c>
      <c r="N49" s="48" t="str">
        <v>D</v>
      </c>
      <c r="O49" s="79">
        <v>82320</v>
      </c>
      <c r="P49" s="91">
        <f t="shared" si="2"/>
        <v>0.37715517241379304</v>
      </c>
      <c r="Q49" s="71"/>
      <c r="R49" s="71"/>
      <c r="S49" s="71"/>
      <c r="T49" s="71"/>
      <c r="U49" s="71"/>
      <c r="V49" s="71"/>
      <c r="W49" s="71"/>
      <c r="X49" s="71"/>
      <c r="Y49" s="87" t="str">
        <f>數據!B48</f>
        <v>甜冷美后</v>
      </c>
      <c r="Z49" s="87" t="str">
        <f>數據!C48</f>
        <v>草</v>
      </c>
      <c r="AA49" s="48" t="s">
        <v>122</v>
      </c>
      <c r="AB49" s="51">
        <f>數據!P48</f>
        <v>24.9</v>
      </c>
      <c r="AD49" s="3" t="s">
        <v>34</v>
      </c>
      <c r="AE49" s="4" t="s">
        <v>46</v>
      </c>
      <c r="AF49" s="4" t="s">
        <v>134</v>
      </c>
      <c r="AG49" s="3">
        <f t="shared" si="1"/>
        <v>143</v>
      </c>
      <c r="AH49" s="3" t="s">
        <v>5</v>
      </c>
      <c r="AI49" s="71">
        <f>AG49*IF(AH49="G", 450, IF(AH49="D", 350, 0)) * IF(AF49="Y", 1.2, 1)*(INDEX(屬性克制表!$B$2:$T$20, MATCH(AE49, 屬性克制表!$A$2:$A$20, 0), MATCH($L$1, 屬性克制表!$B$1:$T$1, 0)) * INDEX(屬性克制表!$B$2:$T$20, MATCH(AE49, 屬性克制表!$A$2:$A$20, 0), MATCH($M$1, 屬性克制表!$B$1:$T$1, 0)))</f>
        <v>77220</v>
      </c>
      <c r="AJ49">
        <f>_xlfn.XLOOKUP(AD49, 數據!B$2:B$50, 數據!M$2:M$50)</f>
        <v>143</v>
      </c>
      <c r="AK49" s="88" t="str">
        <f t="shared" si="3"/>
        <v>甜冷美后</v>
      </c>
      <c r="AL49" s="74">
        <f>AB49/(INDEX(屬性克制表!$B$2:$T$20, MATCH($A$1, 屬性克制表!$A$2:$A$20, 0), MATCH(Z49, 屬性克制表!$B$1:$T$1, 0)) * INDEX(屬性克制表!$B$2:$T$20, MATCH($A$1, 屬性克制表!$A$2:$A$20, 0), MATCH(AA49, 屬性克制表!$B$1:$T$1, 0)))</f>
        <v>24.9</v>
      </c>
      <c r="AM49" s="88" t="str">
        <f t="shared" si="4"/>
        <v>甜冷美后</v>
      </c>
      <c r="AN49" s="56">
        <f>AB49/(INDEX(屬性克制表!$B$2:$T$20, MATCH($C$1, 屬性克制表!$A$2:$A$20, 0), MATCH(Z49, 屬性克制表!$B$1:$T$1, 0)) * INDEX(屬性克制表!$B$2:$T$20, MATCH($C$1, 屬性克制表!$A$2:$A$20, 0), MATCH(AA49, 屬性克制表!$B$1:$T$1, 0)))</f>
        <v>39.839999999999996</v>
      </c>
      <c r="AO49" s="88" t="str">
        <f t="shared" si="5"/>
        <v>甜冷美后</v>
      </c>
      <c r="AP49" s="56">
        <f>AB49/(INDEX(屬性克制表!$B$2:$T$20, MATCH($E$1, 屬性克制表!$A$2:$A$20, 0), MATCH(Z49, 屬性克制表!$B$1:$T$1, 0)) * INDEX(屬性克制表!$B$2:$T$20, MATCH($E$1, 屬性克制表!$A$2:$A$20, 0), MATCH(AA49, 屬性克制表!$B$1:$T$1, 0)))</f>
        <v>39.839999999999996</v>
      </c>
      <c r="AQ49" s="88" t="str">
        <f t="shared" si="6"/>
        <v>甜冷美后</v>
      </c>
      <c r="AR49" s="56">
        <f>AB49/(INDEX(屬性克制表!$B$2:$T$20, MATCH($G$1, 屬性克制表!$A$2:$A$20, 0), MATCH(Z49, 屬性克制表!$B$1:$T$1, 0)) * INDEX(屬性克制表!$B$2:$T$20, MATCH($G$1, 屬性克制表!$A$2:$A$20, 0), MATCH(AA49, 屬性克制表!$B$1:$T$1, 0)))</f>
        <v>24.9</v>
      </c>
    </row>
    <row r="50" spans="1:44">
      <c r="A50" s="81" t="str">
        <v>卡比獸</v>
      </c>
      <c r="B50" s="83">
        <v>21.105</v>
      </c>
      <c r="C50" s="81" t="str">
        <v>雷公</v>
      </c>
      <c r="D50" s="83">
        <v>17.106249999999999</v>
      </c>
      <c r="E50" s="81" t="str">
        <v>列陣兵</v>
      </c>
      <c r="F50" s="83">
        <v>19.591000000000001</v>
      </c>
      <c r="G50" s="81" t="str">
        <v>太陽伊布</v>
      </c>
      <c r="H50" s="83">
        <v>21</v>
      </c>
      <c r="J50" s="48" t="str">
        <v>巴大蝶</v>
      </c>
      <c r="K50" s="48" t="str">
        <v>超能力</v>
      </c>
      <c r="L50" s="48" t="str">
        <v>N</v>
      </c>
      <c r="M50" s="48">
        <v>143</v>
      </c>
      <c r="N50" s="48" t="str">
        <v>D</v>
      </c>
      <c r="O50" s="79">
        <v>80080</v>
      </c>
      <c r="P50" s="91">
        <f t="shared" si="2"/>
        <v>0.36689244663382586</v>
      </c>
      <c r="Q50" s="71"/>
      <c r="R50" s="71"/>
      <c r="S50" s="71"/>
      <c r="T50" s="71"/>
      <c r="U50" s="71"/>
      <c r="V50" s="71"/>
      <c r="W50" s="71"/>
      <c r="X50" s="71"/>
      <c r="Y50" s="87" t="str">
        <f>數據!B49</f>
        <v>沙奈朵</v>
      </c>
      <c r="Z50" s="87" t="str">
        <f>數據!C49</f>
        <v>超能力</v>
      </c>
      <c r="AA50" s="87" t="str">
        <f>數據!D49</f>
        <v>妖精</v>
      </c>
      <c r="AB50" s="51">
        <f>數據!P49</f>
        <v>24.07</v>
      </c>
      <c r="AD50" s="3" t="s">
        <v>51</v>
      </c>
      <c r="AE50" s="4" t="s">
        <v>46</v>
      </c>
      <c r="AF50" s="4" t="s">
        <v>135</v>
      </c>
      <c r="AG50" s="3">
        <f t="shared" si="1"/>
        <v>214</v>
      </c>
      <c r="AH50" s="3" t="s">
        <v>6</v>
      </c>
      <c r="AI50" s="71">
        <f>AG50*IF(AH50="G", 450, IF(AH50="D", 350, 0)) * IF(AF50="Y", 1.2, 1)*(INDEX(屬性克制表!$B$2:$T$20, MATCH(AE50, 屬性克制表!$A$2:$A$20, 0), MATCH($L$1, 屬性克制表!$B$1:$T$1, 0)) * INDEX(屬性克制表!$B$2:$T$20, MATCH(AE50, 屬性克制表!$A$2:$A$20, 0), MATCH($M$1, 屬性克制表!$B$1:$T$1, 0)))</f>
        <v>74900</v>
      </c>
      <c r="AJ50">
        <f>_xlfn.XLOOKUP(AD50, 數據!B$2:B$50, 數據!M$2:M$50)</f>
        <v>214</v>
      </c>
      <c r="AK50" s="88" t="str">
        <f t="shared" si="3"/>
        <v>沙奈朵</v>
      </c>
      <c r="AL50" s="74">
        <f>AB50/(INDEX(屬性克制表!$B$2:$T$20, MATCH($A$1, 屬性克制表!$A$2:$A$20, 0), MATCH(Z50, 屬性克制表!$B$1:$T$1, 0)) * INDEX(屬性克制表!$B$2:$T$20, MATCH($A$1, 屬性克制表!$A$2:$A$20, 0), MATCH(AA50, 屬性克制表!$B$1:$T$1, 0)))</f>
        <v>61.619199999999999</v>
      </c>
      <c r="AM50" s="88" t="str">
        <f t="shared" si="4"/>
        <v>沙奈朵</v>
      </c>
      <c r="AN50" s="56">
        <f>AB50/(INDEX(屬性克制表!$B$2:$T$20, MATCH($C$1, 屬性克制表!$A$2:$A$20, 0), MATCH(Z50, 屬性克制表!$B$1:$T$1, 0)) * INDEX(屬性克制表!$B$2:$T$20, MATCH($C$1, 屬性克制表!$A$2:$A$20, 0), MATCH(AA50, 屬性克制表!$B$1:$T$1, 0)))</f>
        <v>24.07</v>
      </c>
      <c r="AO50" s="88" t="str">
        <f t="shared" si="5"/>
        <v>沙奈朵</v>
      </c>
      <c r="AP50" s="56">
        <f>AB50/(INDEX(屬性克制表!$B$2:$T$20, MATCH($E$1, 屬性克制表!$A$2:$A$20, 0), MATCH(Z50, 屬性克制表!$B$1:$T$1, 0)) * INDEX(屬性克制表!$B$2:$T$20, MATCH($E$1, 屬性克制表!$A$2:$A$20, 0), MATCH(AA50, 屬性克制表!$B$1:$T$1, 0)))</f>
        <v>24.07</v>
      </c>
      <c r="AQ50" s="88" t="str">
        <f t="shared" si="6"/>
        <v>沙奈朵</v>
      </c>
      <c r="AR50" s="56">
        <f>AB50/(INDEX(屬性克制表!$B$2:$T$20, MATCH($G$1, 屬性克制表!$A$2:$A$20, 0), MATCH(Z50, 屬性克制表!$B$1:$T$1, 0)) * INDEX(屬性克制表!$B$2:$T$20, MATCH($G$1, 屬性克制表!$A$2:$A$20, 0), MATCH(AA50, 屬性克制表!$B$1:$T$1, 0)))</f>
        <v>24.07</v>
      </c>
    </row>
    <row r="51" spans="1:44">
      <c r="A51" s="81" t="str">
        <v>高傲雉雞</v>
      </c>
      <c r="B51" s="83">
        <v>20.32</v>
      </c>
      <c r="C51" s="81" t="str">
        <v>多刺菊石獸</v>
      </c>
      <c r="D51" s="83">
        <v>15.909999999999998</v>
      </c>
      <c r="E51" s="81" t="str">
        <v>戰弦蠑螈</v>
      </c>
      <c r="F51" s="83">
        <v>18.634</v>
      </c>
      <c r="G51" s="81" t="str">
        <v>高傲雉雞</v>
      </c>
      <c r="H51" s="83">
        <v>20.32</v>
      </c>
      <c r="J51" s="48" t="str">
        <v>胡地</v>
      </c>
      <c r="K51" s="48" t="str">
        <v>格鬥</v>
      </c>
      <c r="L51" s="48" t="str">
        <v>N</v>
      </c>
      <c r="M51" s="48">
        <v>225</v>
      </c>
      <c r="N51" s="48" t="str">
        <v>D</v>
      </c>
      <c r="O51" s="79">
        <v>78750</v>
      </c>
      <c r="P51" s="91">
        <f t="shared" si="2"/>
        <v>0.36079895320197036</v>
      </c>
      <c r="Q51" s="71"/>
      <c r="R51" s="71"/>
      <c r="S51" s="71"/>
      <c r="T51" s="71"/>
      <c r="U51" s="71"/>
      <c r="V51" s="71"/>
      <c r="W51" s="71"/>
      <c r="X51" s="71"/>
      <c r="Y51" s="87" t="str">
        <f>數據!B50</f>
        <v>超級巨伊布</v>
      </c>
      <c r="Z51" s="87" t="str">
        <f>數據!C50</f>
        <v>一般</v>
      </c>
      <c r="AA51" s="87" t="str">
        <f>數據!D50</f>
        <v>無</v>
      </c>
      <c r="AB51" s="51">
        <f>數據!P50</f>
        <v>12.954000000000001</v>
      </c>
      <c r="AD51" s="3" t="s">
        <v>67</v>
      </c>
      <c r="AE51" s="3" t="s">
        <v>35</v>
      </c>
      <c r="AF51" s="3" t="s">
        <v>135</v>
      </c>
      <c r="AG51" s="3">
        <f t="shared" si="1"/>
        <v>138</v>
      </c>
      <c r="AH51" s="3" t="s">
        <v>6</v>
      </c>
      <c r="AI51" s="71">
        <f>AG51*IF(AH51="G", 450, IF(AH51="D", 350, 0)) * IF(AF51="Y", 1.2, 1)*(INDEX(屬性克制表!$B$2:$T$20, MATCH(AE51, 屬性克制表!$A$2:$A$20, 0), MATCH($L$1, 屬性克制表!$B$1:$T$1, 0)) * INDEX(屬性克制表!$B$2:$T$20, MATCH(AE51, 屬性克制表!$A$2:$A$20, 0), MATCH($M$1, 屬性克制表!$B$1:$T$1, 0)))</f>
        <v>30187.5</v>
      </c>
      <c r="AJ51">
        <f>_xlfn.XLOOKUP(AD51, 數據!B$2:B$50, 數據!M$2:M$50)</f>
        <v>138</v>
      </c>
      <c r="AK51" s="88" t="str">
        <f t="shared" si="3"/>
        <v>超級巨伊布</v>
      </c>
      <c r="AL51" s="74">
        <f>AB51/(INDEX(屬性克制表!$B$2:$T$20, MATCH($A$1, 屬性克制表!$A$2:$A$20, 0), MATCH(Z51, 屬性克制表!$B$1:$T$1, 0)) * INDEX(屬性克制表!$B$2:$T$20, MATCH($A$1, 屬性克制表!$A$2:$A$20, 0), MATCH(AA51, 屬性克制表!$B$1:$T$1, 0)))</f>
        <v>8.0962499999999995</v>
      </c>
      <c r="AM51" s="88" t="str">
        <f t="shared" si="4"/>
        <v>超級巨伊布</v>
      </c>
      <c r="AN51" s="56">
        <f>AB51/(INDEX(屬性克制表!$B$2:$T$20, MATCH($C$1, 屬性克制表!$A$2:$A$20, 0), MATCH(Z51, 屬性克制表!$B$1:$T$1, 0)) * INDEX(屬性克制表!$B$2:$T$20, MATCH($C$1, 屬性克制表!$A$2:$A$20, 0), MATCH(AA51, 屬性克制表!$B$1:$T$1, 0)))</f>
        <v>12.954000000000001</v>
      </c>
      <c r="AO51" s="88" t="str">
        <f t="shared" si="5"/>
        <v>超級巨伊布</v>
      </c>
      <c r="AP51" s="56">
        <f>AB51/(INDEX(屬性克制表!$B$2:$T$20, MATCH($E$1, 屬性克制表!$A$2:$A$20, 0), MATCH(Z51, 屬性克制表!$B$1:$T$1, 0)) * INDEX(屬性克制表!$B$2:$T$20, MATCH($E$1, 屬性克制表!$A$2:$A$20, 0), MATCH(AA51, 屬性克制表!$B$1:$T$1, 0)))</f>
        <v>12.954000000000001</v>
      </c>
      <c r="AQ51" s="88" t="str">
        <f t="shared" si="6"/>
        <v>超級巨伊布</v>
      </c>
      <c r="AR51" s="56">
        <f>AB51/(INDEX(屬性克制表!$B$2:$T$20, MATCH($G$1, 屬性克制表!$A$2:$A$20, 0), MATCH(Z51, 屬性克制表!$B$1:$T$1, 0)) * INDEX(屬性克制表!$B$2:$T$20, MATCH($G$1, 屬性克制表!$A$2:$A$20, 0), MATCH(AA51, 屬性克制表!$B$1:$T$1, 0)))</f>
        <v>12.954000000000001</v>
      </c>
    </row>
    <row r="52" spans="1:44">
      <c r="A52" s="82" t="str">
        <v>列陣兵</v>
      </c>
      <c r="B52" s="83">
        <v>19.591000000000001</v>
      </c>
      <c r="C52" s="81" t="str">
        <v>閃焰王牌</v>
      </c>
      <c r="D52" s="83">
        <v>15.225</v>
      </c>
      <c r="E52" s="81" t="str">
        <v>胡地</v>
      </c>
      <c r="F52" s="83">
        <v>18.288</v>
      </c>
      <c r="G52" s="81" t="str">
        <v>布莉姆溫</v>
      </c>
      <c r="H52" s="83">
        <v>19.84</v>
      </c>
      <c r="J52" s="48" t="str">
        <v>巴大蝶</v>
      </c>
      <c r="K52" s="48" t="str">
        <v>蟲</v>
      </c>
      <c r="L52" s="48" t="str">
        <v>Y</v>
      </c>
      <c r="M52" s="48">
        <v>143</v>
      </c>
      <c r="N52" s="48" t="str">
        <v>G</v>
      </c>
      <c r="O52" s="79">
        <v>77220</v>
      </c>
      <c r="P52" s="91">
        <f t="shared" si="2"/>
        <v>0.35378914496833208</v>
      </c>
      <c r="Q52" s="71"/>
      <c r="R52" s="71"/>
      <c r="S52" s="71"/>
      <c r="T52" s="71"/>
      <c r="U52" s="71"/>
      <c r="V52" s="71"/>
      <c r="W52" s="71"/>
      <c r="X52" s="71"/>
      <c r="Y52" s="87" t="str">
        <f>數據!B51</f>
        <v>水伊布</v>
      </c>
      <c r="Z52" s="87" t="str">
        <f>數據!C51</f>
        <v>水</v>
      </c>
      <c r="AA52" s="87" t="str">
        <f>數據!D51</f>
        <v>無</v>
      </c>
      <c r="AB52" s="51">
        <f>數據!P51</f>
        <v>31.97</v>
      </c>
      <c r="AD52" s="3" t="s">
        <v>68</v>
      </c>
      <c r="AE52" s="3" t="s">
        <v>70</v>
      </c>
      <c r="AF52" s="3" t="s">
        <v>135</v>
      </c>
      <c r="AG52" s="3">
        <f t="shared" si="1"/>
        <v>136</v>
      </c>
      <c r="AH52" s="3" t="s">
        <v>6</v>
      </c>
      <c r="AI52" s="71">
        <f>AG52*IF(AH52="G", 450, IF(AH52="D", 350, 0)) * IF(AF52="Y", 1.2, 1)*(INDEX(屬性克制表!$B$2:$T$20, MATCH(AE52, 屬性克制表!$A$2:$A$20, 0), MATCH($L$1, 屬性克制表!$B$1:$T$1, 0)) * INDEX(屬性克制表!$B$2:$T$20, MATCH(AE52, 屬性克制表!$A$2:$A$20, 0), MATCH($M$1, 屬性克制表!$B$1:$T$1, 0)))</f>
        <v>47600</v>
      </c>
      <c r="AJ52">
        <f>_xlfn.XLOOKUP(AD52, 數據!B$2:B$50, 數據!M$2:M$50)</f>
        <v>136</v>
      </c>
      <c r="AK52" s="88" t="str">
        <f t="shared" si="3"/>
        <v>水伊布</v>
      </c>
      <c r="AL52" s="74">
        <f>AB52/(INDEX(屬性克制表!$B$2:$T$20, MATCH($A$1, 屬性克制表!$A$2:$A$20, 0), MATCH(Z52, 屬性克制表!$B$1:$T$1, 0)) * INDEX(屬性克制表!$B$2:$T$20, MATCH($A$1, 屬性克制表!$A$2:$A$20, 0), MATCH(AA52, 屬性克制表!$B$1:$T$1, 0)))</f>
        <v>31.97</v>
      </c>
      <c r="AM52" s="88" t="str">
        <f t="shared" si="4"/>
        <v>水伊布</v>
      </c>
      <c r="AN52" s="56">
        <f>AB52/(INDEX(屬性克制表!$B$2:$T$20, MATCH($C$1, 屬性克制表!$A$2:$A$20, 0), MATCH(Z52, 屬性克制表!$B$1:$T$1, 0)) * INDEX(屬性克制表!$B$2:$T$20, MATCH($C$1, 屬性克制表!$A$2:$A$20, 0), MATCH(AA52, 屬性克制表!$B$1:$T$1, 0)))</f>
        <v>31.97</v>
      </c>
      <c r="AO52" s="88" t="str">
        <f t="shared" si="5"/>
        <v>水伊布</v>
      </c>
      <c r="AP52" s="56">
        <f>AB52/(INDEX(屬性克制表!$B$2:$T$20, MATCH($E$1, 屬性克制表!$A$2:$A$20, 0), MATCH(Z52, 屬性克制表!$B$1:$T$1, 0)) * INDEX(屬性克制表!$B$2:$T$20, MATCH($E$1, 屬性克制表!$A$2:$A$20, 0), MATCH(AA52, 屬性克制表!$B$1:$T$1, 0)))</f>
        <v>51.152000000000001</v>
      </c>
      <c r="AQ52" s="88" t="str">
        <f t="shared" si="6"/>
        <v>水伊布</v>
      </c>
      <c r="AR52" s="56">
        <f>AB52/(INDEX(屬性克制表!$B$2:$T$20, MATCH($G$1, 屬性克制表!$A$2:$A$20, 0), MATCH(Z52, 屬性克制表!$B$1:$T$1, 0)) * INDEX(屬性克制表!$B$2:$T$20, MATCH($G$1, 屬性克制表!$A$2:$A$20, 0), MATCH(AA52, 屬性克制表!$B$1:$T$1, 0)))</f>
        <v>31.97</v>
      </c>
    </row>
    <row r="53" spans="1:44">
      <c r="A53" s="82" t="str">
        <v>巨鉗蟹</v>
      </c>
      <c r="B53" s="83">
        <v>19.431000000000001</v>
      </c>
      <c r="C53" s="81" t="str">
        <v>龍頭地鼠</v>
      </c>
      <c r="D53" s="83">
        <v>14.80625</v>
      </c>
      <c r="E53" s="81" t="str">
        <v>耿鬼</v>
      </c>
      <c r="F53" s="83">
        <v>18.224</v>
      </c>
      <c r="G53" s="81" t="str">
        <v>列陣兵</v>
      </c>
      <c r="H53" s="83">
        <v>19.591000000000001</v>
      </c>
      <c r="J53" s="48" t="str">
        <v>投擲猴</v>
      </c>
      <c r="K53" s="48" t="str">
        <v>格鬥</v>
      </c>
      <c r="L53" s="48" t="str">
        <v>Y</v>
      </c>
      <c r="M53" s="48">
        <v>181</v>
      </c>
      <c r="N53" s="48" t="str">
        <v>D</v>
      </c>
      <c r="O53" s="79">
        <v>76020</v>
      </c>
      <c r="P53" s="91">
        <f t="shared" si="2"/>
        <v>0.3482912561576354</v>
      </c>
      <c r="Q53" s="71"/>
      <c r="R53" s="71"/>
      <c r="S53" s="71"/>
      <c r="T53" s="71"/>
      <c r="U53" s="71"/>
      <c r="V53" s="71"/>
      <c r="W53" s="71"/>
      <c r="X53" s="71"/>
      <c r="Y53" s="87" t="str">
        <f>數據!B52</f>
        <v>雷伊布</v>
      </c>
      <c r="Z53" s="87" t="str">
        <f>數據!C52</f>
        <v>電</v>
      </c>
      <c r="AA53" s="87" t="str">
        <f>數據!D52</f>
        <v>無</v>
      </c>
      <c r="AB53" s="51">
        <f>數據!P52</f>
        <v>21.84</v>
      </c>
      <c r="AD53" s="7" t="s">
        <v>17</v>
      </c>
      <c r="AE53" s="3" t="s">
        <v>36</v>
      </c>
      <c r="AF53" s="3" t="s">
        <v>134</v>
      </c>
      <c r="AG53" s="3">
        <f t="shared" si="1"/>
        <v>217</v>
      </c>
      <c r="AH53" s="7" t="s">
        <v>5</v>
      </c>
      <c r="AI53" s="71">
        <f>AG53*IF(AH53="G", 450, IF(AH53="D", 350, 0)) * IF(AF53="Y", 1.2, 1)*(INDEX(屬性克制表!$B$2:$T$20, MATCH(AE53, 屬性克制表!$A$2:$A$20, 0), MATCH($L$1, 屬性克制表!$B$1:$T$1, 0)) * INDEX(屬性克制表!$B$2:$T$20, MATCH(AE53, 屬性克制表!$A$2:$A$20, 0), MATCH($M$1, 屬性克制表!$B$1:$T$1, 0)))</f>
        <v>73237.5</v>
      </c>
      <c r="AJ53">
        <f>_xlfn.XLOOKUP(AD53, 數據!B$2:B$50, 數據!M$2:M$50)</f>
        <v>217</v>
      </c>
      <c r="AK53" s="88" t="str">
        <f t="shared" si="3"/>
        <v>雷伊布</v>
      </c>
      <c r="AL53" s="74">
        <f>AB53/(INDEX(屬性克制表!$B$2:$T$20, MATCH($A$1, 屬性克制表!$A$2:$A$20, 0), MATCH(Z53, 屬性克制表!$B$1:$T$1, 0)) * INDEX(屬性克制表!$B$2:$T$20, MATCH($A$1, 屬性克制表!$A$2:$A$20, 0), MATCH(AA53, 屬性克制表!$B$1:$T$1, 0)))</f>
        <v>21.84</v>
      </c>
      <c r="AM53" s="88" t="str">
        <f t="shared" si="4"/>
        <v>雷伊布</v>
      </c>
      <c r="AN53" s="56">
        <f>AB53/(INDEX(屬性克制表!$B$2:$T$20, MATCH($C$1, 屬性克制表!$A$2:$A$20, 0), MATCH(Z53, 屬性克制表!$B$1:$T$1, 0)) * INDEX(屬性克制表!$B$2:$T$20, MATCH($C$1, 屬性克制表!$A$2:$A$20, 0), MATCH(AA53, 屬性克制表!$B$1:$T$1, 0)))</f>
        <v>13.649999999999999</v>
      </c>
      <c r="AO53" s="88" t="str">
        <f t="shared" si="5"/>
        <v>雷伊布</v>
      </c>
      <c r="AP53" s="56">
        <f>AB53/(INDEX(屬性克制表!$B$2:$T$20, MATCH($E$1, 屬性克制表!$A$2:$A$20, 0), MATCH(Z53, 屬性克制表!$B$1:$T$1, 0)) * INDEX(屬性克制表!$B$2:$T$20, MATCH($E$1, 屬性克制表!$A$2:$A$20, 0), MATCH(AA53, 屬性克制表!$B$1:$T$1, 0)))</f>
        <v>21.84</v>
      </c>
      <c r="AQ53" s="88" t="str">
        <f t="shared" si="6"/>
        <v>雷伊布</v>
      </c>
      <c r="AR53" s="56">
        <f>AB53/(INDEX(屬性克制表!$B$2:$T$20, MATCH($G$1, 屬性克制表!$A$2:$A$20, 0), MATCH(Z53, 屬性克制表!$B$1:$T$1, 0)) * INDEX(屬性克制表!$B$2:$T$20, MATCH($G$1, 屬性克制表!$A$2:$A$20, 0), MATCH(AA53, 屬性克制表!$B$1:$T$1, 0)))</f>
        <v>21.84</v>
      </c>
    </row>
    <row r="54" spans="1:44">
      <c r="A54" s="82" t="str">
        <v>狒狒達摩</v>
      </c>
      <c r="B54" s="83">
        <v>19.3</v>
      </c>
      <c r="C54" s="81" t="str">
        <v>炎帝</v>
      </c>
      <c r="D54" s="83">
        <v>14.719999999999999</v>
      </c>
      <c r="E54" s="81" t="str">
        <v>巴大蝶</v>
      </c>
      <c r="F54" s="83">
        <v>15.827</v>
      </c>
      <c r="G54" s="81" t="str">
        <v>巨鉗蟹</v>
      </c>
      <c r="H54" s="83">
        <v>19.431000000000001</v>
      </c>
      <c r="J54" s="48" t="str">
        <v>巨金怪</v>
      </c>
      <c r="K54" s="48" t="str">
        <v>蟲</v>
      </c>
      <c r="L54" s="48" t="str">
        <v>N</v>
      </c>
      <c r="M54" s="48">
        <v>214</v>
      </c>
      <c r="N54" s="48" t="str">
        <v>D</v>
      </c>
      <c r="O54" s="79">
        <v>74900</v>
      </c>
      <c r="P54" s="91">
        <f t="shared" si="2"/>
        <v>0.34315989326765184</v>
      </c>
      <c r="Q54" s="71"/>
      <c r="R54" s="71"/>
      <c r="S54" s="71"/>
      <c r="T54" s="71"/>
      <c r="U54" s="71"/>
      <c r="V54" s="71"/>
      <c r="W54" s="71"/>
      <c r="X54" s="71"/>
      <c r="Y54" s="87" t="str">
        <f>數據!B53</f>
        <v>火伊布</v>
      </c>
      <c r="Z54" s="87" t="str">
        <f>數據!C53</f>
        <v>火</v>
      </c>
      <c r="AA54" s="87" t="str">
        <f>數據!D53</f>
        <v>無</v>
      </c>
      <c r="AB54" s="51">
        <f>數據!P53</f>
        <v>21.42</v>
      </c>
      <c r="AD54" s="4" t="s">
        <v>19</v>
      </c>
      <c r="AE54" s="4" t="s">
        <v>73</v>
      </c>
      <c r="AF54" s="4" t="s">
        <v>135</v>
      </c>
      <c r="AG54" s="3">
        <f t="shared" si="1"/>
        <v>198</v>
      </c>
      <c r="AH54" s="4" t="s">
        <v>6</v>
      </c>
      <c r="AI54" s="71">
        <f>AG54*IF(AH54="G", 450, IF(AH54="D", 350, 0)) * IF(AF54="Y", 1.2, 1)*(INDEX(屬性克制表!$B$2:$T$20, MATCH(AE54, 屬性克制表!$A$2:$A$20, 0), MATCH($L$1, 屬性克制表!$B$1:$T$1, 0)) * INDEX(屬性克制表!$B$2:$T$20, MATCH(AE54, 屬性克制表!$A$2:$A$20, 0), MATCH($M$1, 屬性克制表!$B$1:$T$1, 0)))</f>
        <v>43312.5</v>
      </c>
      <c r="AJ54">
        <f>_xlfn.XLOOKUP(AD54, 數據!B$2:B$50, 數據!M$2:M$50)</f>
        <v>198</v>
      </c>
      <c r="AK54" s="88" t="str">
        <f t="shared" si="3"/>
        <v>火伊布</v>
      </c>
      <c r="AL54" s="74">
        <f>AB54/(INDEX(屬性克制表!$B$2:$T$20, MATCH($A$1, 屬性克制表!$A$2:$A$20, 0), MATCH(Z54, 屬性克制表!$B$1:$T$1, 0)) * INDEX(屬性克制表!$B$2:$T$20, MATCH($A$1, 屬性克制表!$A$2:$A$20, 0), MATCH(AA54, 屬性克制表!$B$1:$T$1, 0)))</f>
        <v>21.42</v>
      </c>
      <c r="AM54" s="88" t="str">
        <f t="shared" si="4"/>
        <v>火伊布</v>
      </c>
      <c r="AN54" s="56">
        <f>AB54/(INDEX(屬性克制表!$B$2:$T$20, MATCH($C$1, 屬性克制表!$A$2:$A$20, 0), MATCH(Z54, 屬性克制表!$B$1:$T$1, 0)) * INDEX(屬性克制表!$B$2:$T$20, MATCH($C$1, 屬性克制表!$A$2:$A$20, 0), MATCH(AA54, 屬性克制表!$B$1:$T$1, 0)))</f>
        <v>13.387500000000001</v>
      </c>
      <c r="AO54" s="88" t="str">
        <f t="shared" si="5"/>
        <v>火伊布</v>
      </c>
      <c r="AP54" s="56">
        <f>AB54/(INDEX(屬性克制表!$B$2:$T$20, MATCH($E$1, 屬性克制表!$A$2:$A$20, 0), MATCH(Z54, 屬性克制表!$B$1:$T$1, 0)) * INDEX(屬性克制表!$B$2:$T$20, MATCH($E$1, 屬性克制表!$A$2:$A$20, 0), MATCH(AA54, 屬性克制表!$B$1:$T$1, 0)))</f>
        <v>13.387500000000001</v>
      </c>
      <c r="AQ54" s="88" t="str">
        <f t="shared" si="6"/>
        <v>火伊布</v>
      </c>
      <c r="AR54" s="56">
        <f>AB54/(INDEX(屬性克制表!$B$2:$T$20, MATCH($G$1, 屬性克制表!$A$2:$A$20, 0), MATCH(Z54, 屬性克制表!$B$1:$T$1, 0)) * INDEX(屬性克制表!$B$2:$T$20, MATCH($G$1, 屬性克制表!$A$2:$A$20, 0), MATCH(AA54, 屬性克制表!$B$1:$T$1, 0)))</f>
        <v>34.272000000000006</v>
      </c>
    </row>
    <row r="55" spans="1:44">
      <c r="A55" s="82" t="str">
        <v>藏飽栗鼠</v>
      </c>
      <c r="B55" s="83">
        <v>18.309374999999999</v>
      </c>
      <c r="C55" s="81" t="str">
        <v>鋁鋼龍</v>
      </c>
      <c r="D55" s="83">
        <v>14.516249999999999</v>
      </c>
      <c r="E55" s="81" t="str">
        <v>閃焰王牌</v>
      </c>
      <c r="F55" s="83">
        <v>15.225</v>
      </c>
      <c r="G55" s="81" t="str">
        <v>胡地</v>
      </c>
      <c r="H55" s="83">
        <v>18.288</v>
      </c>
      <c r="J55" s="48" t="str">
        <v>巨金怪</v>
      </c>
      <c r="K55" s="48" t="str">
        <v>幽靈</v>
      </c>
      <c r="L55" s="48" t="str">
        <v>N</v>
      </c>
      <c r="M55" s="48">
        <v>214</v>
      </c>
      <c r="N55" s="48" t="str">
        <v>D</v>
      </c>
      <c r="O55" s="79">
        <v>74900</v>
      </c>
      <c r="P55" s="91">
        <f t="shared" si="2"/>
        <v>0.34315989326765184</v>
      </c>
      <c r="Q55" s="71"/>
      <c r="R55" s="71"/>
      <c r="S55" s="71"/>
      <c r="T55" s="71"/>
      <c r="U55" s="71"/>
      <c r="V55" s="71"/>
      <c r="W55" s="71"/>
      <c r="X55" s="71"/>
      <c r="Y55" s="87" t="str">
        <f>數據!B54</f>
        <v>太陽伊布</v>
      </c>
      <c r="Z55" s="87" t="str">
        <f>數據!C54</f>
        <v>超能力</v>
      </c>
      <c r="AA55" s="87" t="str">
        <f>數據!D54</f>
        <v>無</v>
      </c>
      <c r="AB55" s="51">
        <f>數據!P54</f>
        <v>21</v>
      </c>
      <c r="AD55" s="3" t="s">
        <v>19</v>
      </c>
      <c r="AE55" s="4" t="s">
        <v>71</v>
      </c>
      <c r="AF55" s="4" t="s">
        <v>135</v>
      </c>
      <c r="AG55" s="3">
        <f t="shared" si="1"/>
        <v>198</v>
      </c>
      <c r="AH55" s="3" t="s">
        <v>6</v>
      </c>
      <c r="AI55" s="71">
        <f>AG55*IF(AH55="G", 450, IF(AH55="D", 350, 0)) * IF(AF55="Y", 1.2, 1)*(INDEX(屬性克制表!$B$2:$T$20, MATCH(AE55, 屬性克制表!$A$2:$A$20, 0), MATCH($L$1, 屬性克制表!$B$1:$T$1, 0)) * INDEX(屬性克制表!$B$2:$T$20, MATCH(AE55, 屬性克制表!$A$2:$A$20, 0), MATCH($M$1, 屬性克制表!$B$1:$T$1, 0)))</f>
        <v>69300</v>
      </c>
      <c r="AJ55">
        <f>_xlfn.XLOOKUP(AD55, 數據!B$2:B$50, 數據!M$2:M$50)</f>
        <v>198</v>
      </c>
      <c r="AK55" s="88" t="str">
        <f t="shared" si="3"/>
        <v>太陽伊布</v>
      </c>
      <c r="AL55" s="74">
        <f>AB55/(INDEX(屬性克制表!$B$2:$T$20, MATCH($A$1, 屬性克制表!$A$2:$A$20, 0), MATCH(Z55, 屬性克制表!$B$1:$T$1, 0)) * INDEX(屬性克制表!$B$2:$T$20, MATCH($A$1, 屬性克制表!$A$2:$A$20, 0), MATCH(AA55, 屬性克制表!$B$1:$T$1, 0)))</f>
        <v>33.6</v>
      </c>
      <c r="AM55" s="88" t="str">
        <f t="shared" si="4"/>
        <v>太陽伊布</v>
      </c>
      <c r="AN55" s="56">
        <f>AB55/(INDEX(屬性克制表!$B$2:$T$20, MATCH($C$1, 屬性克制表!$A$2:$A$20, 0), MATCH(Z55, 屬性克制表!$B$1:$T$1, 0)) * INDEX(屬性克制表!$B$2:$T$20, MATCH($C$1, 屬性克制表!$A$2:$A$20, 0), MATCH(AA55, 屬性克制表!$B$1:$T$1, 0)))</f>
        <v>21</v>
      </c>
      <c r="AO55" s="88" t="str">
        <f t="shared" si="5"/>
        <v>太陽伊布</v>
      </c>
      <c r="AP55" s="56">
        <f>AB55/(INDEX(屬性克制表!$B$2:$T$20, MATCH($E$1, 屬性克制表!$A$2:$A$20, 0), MATCH(Z55, 屬性克制表!$B$1:$T$1, 0)) * INDEX(屬性克制表!$B$2:$T$20, MATCH($E$1, 屬性克制表!$A$2:$A$20, 0), MATCH(AA55, 屬性克制表!$B$1:$T$1, 0)))</f>
        <v>21</v>
      </c>
      <c r="AQ55" s="88" t="str">
        <f t="shared" si="6"/>
        <v>太陽伊布</v>
      </c>
      <c r="AR55" s="56">
        <f>AB55/(INDEX(屬性克制表!$B$2:$T$20, MATCH($G$1, 屬性克制表!$A$2:$A$20, 0), MATCH(Z55, 屬性克制表!$B$1:$T$1, 0)) * INDEX(屬性克制表!$B$2:$T$20, MATCH($G$1, 屬性克制表!$A$2:$A$20, 0), MATCH(AA55, 屬性克制表!$B$1:$T$1, 0)))</f>
        <v>21</v>
      </c>
    </row>
    <row r="56" spans="1:44">
      <c r="A56" s="82" t="str">
        <v>千面避役</v>
      </c>
      <c r="B56" s="83">
        <v>18.081</v>
      </c>
      <c r="C56" s="81" t="str">
        <v>灰塵山</v>
      </c>
      <c r="D56" s="83">
        <v>14.174999999999999</v>
      </c>
      <c r="E56" s="81" t="str">
        <v>心蝙蝠</v>
      </c>
      <c r="F56" s="83">
        <v>15.157999999999999</v>
      </c>
      <c r="G56" s="81" t="str">
        <v>千面避役</v>
      </c>
      <c r="H56" s="83">
        <v>18.081</v>
      </c>
      <c r="J56" s="48" t="str">
        <v>千面避役</v>
      </c>
      <c r="K56" s="48" t="str">
        <v>水</v>
      </c>
      <c r="L56" s="48" t="str">
        <v>Y</v>
      </c>
      <c r="M56" s="48">
        <v>217</v>
      </c>
      <c r="N56" s="48" t="str">
        <v>G</v>
      </c>
      <c r="O56" s="79">
        <v>73237.5</v>
      </c>
      <c r="P56" s="91">
        <f t="shared" si="2"/>
        <v>0.33554302647783246</v>
      </c>
      <c r="Q56" s="71"/>
      <c r="R56" s="71"/>
      <c r="S56" s="71"/>
      <c r="T56" s="71"/>
      <c r="U56" s="71"/>
      <c r="V56" s="71"/>
      <c r="W56" s="71"/>
      <c r="X56" s="71"/>
      <c r="Y56" s="87" t="str">
        <f>數據!B55</f>
        <v>月亮伊布</v>
      </c>
      <c r="Z56" s="87" t="str">
        <f>數據!C55</f>
        <v>惡</v>
      </c>
      <c r="AA56" s="87" t="str">
        <f>數據!D55</f>
        <v>無</v>
      </c>
      <c r="AB56" s="51">
        <f>數據!P55</f>
        <v>36.764000000000003</v>
      </c>
      <c r="AD56" s="3" t="s">
        <v>62</v>
      </c>
      <c r="AE56" s="4" t="s">
        <v>71</v>
      </c>
      <c r="AF56" s="4" t="s">
        <v>135</v>
      </c>
      <c r="AG56" s="3">
        <f t="shared" si="1"/>
        <v>201</v>
      </c>
      <c r="AH56" s="3" t="s">
        <v>6</v>
      </c>
      <c r="AI56" s="71">
        <f>AG56*IF(AH56="G", 450, IF(AH56="D", 350, 0)) * IF(AF56="Y", 1.2, 1)*(INDEX(屬性克制表!$B$2:$T$20, MATCH(AE56, 屬性克制表!$A$2:$A$20, 0), MATCH($L$1, 屬性克制表!$B$1:$T$1, 0)) * INDEX(屬性克制表!$B$2:$T$20, MATCH(AE56, 屬性克制表!$A$2:$A$20, 0), MATCH($M$1, 屬性克制表!$B$1:$T$1, 0)))</f>
        <v>70350</v>
      </c>
      <c r="AJ56">
        <f>_xlfn.XLOOKUP(AD56, 數據!B$2:B$50, 數據!M$2:M$50)</f>
        <v>201</v>
      </c>
      <c r="AK56" s="88" t="str">
        <f t="shared" si="3"/>
        <v>月亮伊布</v>
      </c>
      <c r="AL56" s="74">
        <f>AB56/(INDEX(屬性克制表!$B$2:$T$20, MATCH($A$1, 屬性克制表!$A$2:$A$20, 0), MATCH(Z56, 屬性克制表!$B$1:$T$1, 0)) * INDEX(屬性克制表!$B$2:$T$20, MATCH($A$1, 屬性克制表!$A$2:$A$20, 0), MATCH(AA56, 屬性克制表!$B$1:$T$1, 0)))</f>
        <v>22.977499999999999</v>
      </c>
      <c r="AM56" s="88" t="str">
        <f t="shared" si="4"/>
        <v>月亮伊布</v>
      </c>
      <c r="AN56" s="56">
        <f>AB56/(INDEX(屬性克制表!$B$2:$T$20, MATCH($C$1, 屬性克制表!$A$2:$A$20, 0), MATCH(Z56, 屬性克制表!$B$1:$T$1, 0)) * INDEX(屬性克制表!$B$2:$T$20, MATCH($C$1, 屬性克制表!$A$2:$A$20, 0), MATCH(AA56, 屬性克制表!$B$1:$T$1, 0)))</f>
        <v>36.764000000000003</v>
      </c>
      <c r="AO56" s="88" t="str">
        <f t="shared" si="5"/>
        <v>月亮伊布</v>
      </c>
      <c r="AP56" s="56">
        <f>AB56/(INDEX(屬性克制表!$B$2:$T$20, MATCH($E$1, 屬性克制表!$A$2:$A$20, 0), MATCH(Z56, 屬性克制表!$B$1:$T$1, 0)) * INDEX(屬性克制表!$B$2:$T$20, MATCH($E$1, 屬性克制表!$A$2:$A$20, 0), MATCH(AA56, 屬性克制表!$B$1:$T$1, 0)))</f>
        <v>36.764000000000003</v>
      </c>
      <c r="AQ56" s="88" t="str">
        <f t="shared" si="6"/>
        <v>月亮伊布</v>
      </c>
      <c r="AR56" s="56">
        <f>AB56/(INDEX(屬性克制表!$B$2:$T$20, MATCH($G$1, 屬性克制表!$A$2:$A$20, 0), MATCH(Z56, 屬性克制表!$B$1:$T$1, 0)) * INDEX(屬性克制表!$B$2:$T$20, MATCH($G$1, 屬性克制表!$A$2:$A$20, 0), MATCH(AA56, 屬性克制表!$B$1:$T$1, 0)))</f>
        <v>22.977499999999999</v>
      </c>
    </row>
    <row r="57" spans="1:44">
      <c r="A57" s="82" t="str">
        <v>武道熊師(一)</v>
      </c>
      <c r="B57" s="83">
        <v>17.625</v>
      </c>
      <c r="C57" s="81" t="str">
        <v>超極巨灰塵山</v>
      </c>
      <c r="D57" s="83">
        <v>13.999999999999998</v>
      </c>
      <c r="E57" s="81" t="str">
        <v>火焰鳥</v>
      </c>
      <c r="F57" s="83">
        <v>14.873749999999998</v>
      </c>
      <c r="G57" s="81" t="str">
        <v>武道熊師(一)</v>
      </c>
      <c r="H57" s="83">
        <v>17.625</v>
      </c>
      <c r="J57" s="48" t="str">
        <v>仙子伊布</v>
      </c>
      <c r="K57" s="48" t="str">
        <v>妖精</v>
      </c>
      <c r="L57" s="48" t="str">
        <v>Y</v>
      </c>
      <c r="M57" s="48">
        <v>172</v>
      </c>
      <c r="N57" s="48" t="str">
        <v>D</v>
      </c>
      <c r="O57" s="79">
        <v>72240</v>
      </c>
      <c r="P57" s="91">
        <f t="shared" si="2"/>
        <v>0.33097290640394084</v>
      </c>
      <c r="Q57" s="71"/>
      <c r="R57" s="71"/>
      <c r="S57" s="71"/>
      <c r="T57" s="71"/>
      <c r="U57" s="71"/>
      <c r="V57" s="71"/>
      <c r="W57" s="71"/>
      <c r="X57" s="71"/>
      <c r="Y57" s="87" t="str">
        <f>數據!B56</f>
        <v>葉伊布</v>
      </c>
      <c r="Z57" s="87" t="str">
        <f>數據!C56</f>
        <v>草</v>
      </c>
      <c r="AA57" s="87" t="str">
        <f>數據!D56</f>
        <v>無</v>
      </c>
      <c r="AB57" s="51">
        <f>數據!P56</f>
        <v>25.9</v>
      </c>
      <c r="AD57" s="7" t="s">
        <v>19</v>
      </c>
      <c r="AE57" s="3" t="s">
        <v>36</v>
      </c>
      <c r="AF57" s="3" t="s">
        <v>134</v>
      </c>
      <c r="AG57" s="3">
        <f t="shared" si="1"/>
        <v>198</v>
      </c>
      <c r="AH57" s="7" t="s">
        <v>5</v>
      </c>
      <c r="AI57" s="71">
        <f>AG57*IF(AH57="G", 450, IF(AH57="D", 350, 0)) * IF(AF57="Y", 1.2, 1)*(INDEX(屬性克制表!$B$2:$T$20, MATCH(AE57, 屬性克制表!$A$2:$A$20, 0), MATCH($L$1, 屬性克制表!$B$1:$T$1, 0)) * INDEX(屬性克制表!$B$2:$T$20, MATCH(AE57, 屬性克制表!$A$2:$A$20, 0), MATCH($M$1, 屬性克制表!$B$1:$T$1, 0)))</f>
        <v>66825</v>
      </c>
      <c r="AJ57">
        <f>_xlfn.XLOOKUP(AD57, 數據!B$2:B$50, 數據!M$2:M$50)</f>
        <v>198</v>
      </c>
      <c r="AK57" s="88" t="str">
        <f t="shared" si="3"/>
        <v>葉伊布</v>
      </c>
      <c r="AL57" s="74">
        <f>AB57/(INDEX(屬性克制表!$B$2:$T$20, MATCH($A$1, 屬性克制表!$A$2:$A$20, 0), MATCH(Z57, 屬性克制表!$B$1:$T$1, 0)) * INDEX(屬性克制表!$B$2:$T$20, MATCH($A$1, 屬性克制表!$A$2:$A$20, 0), MATCH(AA57, 屬性克制表!$B$1:$T$1, 0)))</f>
        <v>25.9</v>
      </c>
      <c r="AM57" s="88" t="str">
        <f t="shared" si="4"/>
        <v>葉伊布</v>
      </c>
      <c r="AN57" s="56">
        <f>AB57/(INDEX(屬性克制表!$B$2:$T$20, MATCH($C$1, 屬性克制表!$A$2:$A$20, 0), MATCH(Z57, 屬性克制表!$B$1:$T$1, 0)) * INDEX(屬性克制表!$B$2:$T$20, MATCH($C$1, 屬性克制表!$A$2:$A$20, 0), MATCH(AA57, 屬性克制表!$B$1:$T$1, 0)))</f>
        <v>41.44</v>
      </c>
      <c r="AO57" s="88" t="str">
        <f t="shared" si="5"/>
        <v>葉伊布</v>
      </c>
      <c r="AP57" s="56">
        <f>AB57/(INDEX(屬性克制表!$B$2:$T$20, MATCH($E$1, 屬性克制表!$A$2:$A$20, 0), MATCH(Z57, 屬性克制表!$B$1:$T$1, 0)) * INDEX(屬性克制表!$B$2:$T$20, MATCH($E$1, 屬性克制表!$A$2:$A$20, 0), MATCH(AA57, 屬性克制表!$B$1:$T$1, 0)))</f>
        <v>41.44</v>
      </c>
      <c r="AQ57" s="88" t="str">
        <f t="shared" si="6"/>
        <v>葉伊布</v>
      </c>
      <c r="AR57" s="56">
        <f>AB57/(INDEX(屬性克制表!$B$2:$T$20, MATCH($G$1, 屬性克制表!$A$2:$A$20, 0), MATCH(Z57, 屬性克制表!$B$1:$T$1, 0)) * INDEX(屬性克制表!$B$2:$T$20, MATCH($G$1, 屬性克制表!$A$2:$A$20, 0), MATCH(AA57, 屬性克制表!$B$1:$T$1, 0)))</f>
        <v>25.9</v>
      </c>
    </row>
    <row r="58" spans="1:44">
      <c r="A58" s="82" t="str">
        <v>幾何雪花</v>
      </c>
      <c r="B58" s="83">
        <v>16.434999999999999</v>
      </c>
      <c r="C58" s="81" t="str">
        <v>勾魂眼</v>
      </c>
      <c r="D58" s="83">
        <v>13.688000000000001</v>
      </c>
      <c r="E58" s="81" t="str">
        <v>龍頭地鼠</v>
      </c>
      <c r="F58" s="83">
        <v>14.80625</v>
      </c>
      <c r="G58" s="81" t="str">
        <v>拉帝歐斯</v>
      </c>
      <c r="H58" s="83">
        <v>17.38</v>
      </c>
      <c r="J58" s="48" t="str">
        <v>怪力</v>
      </c>
      <c r="K58" s="48" t="str">
        <v>鋼</v>
      </c>
      <c r="L58" s="48" t="str">
        <v>N</v>
      </c>
      <c r="M58" s="48">
        <v>201</v>
      </c>
      <c r="N58" s="48" t="str">
        <v>D</v>
      </c>
      <c r="O58" s="79">
        <v>70350</v>
      </c>
      <c r="P58" s="91">
        <f t="shared" si="2"/>
        <v>0.32231373152709353</v>
      </c>
      <c r="Q58" s="71"/>
      <c r="R58" s="71"/>
      <c r="S58" s="71"/>
      <c r="T58" s="71"/>
      <c r="U58" s="71"/>
      <c r="V58" s="71"/>
      <c r="W58" s="71"/>
      <c r="X58" s="71"/>
      <c r="Y58" s="87" t="str">
        <f>數據!B57</f>
        <v>冰伊布</v>
      </c>
      <c r="Z58" s="87" t="str">
        <f>數據!C57</f>
        <v>冰</v>
      </c>
      <c r="AA58" s="87" t="str">
        <f>數據!D57</f>
        <v>無</v>
      </c>
      <c r="AB58" s="51">
        <f>數據!P57</f>
        <v>24.36</v>
      </c>
      <c r="AD58" s="3" t="s">
        <v>58</v>
      </c>
      <c r="AE58" s="4" t="s">
        <v>71</v>
      </c>
      <c r="AF58" s="4" t="s">
        <v>135</v>
      </c>
      <c r="AG58" s="3">
        <f t="shared" si="1"/>
        <v>188</v>
      </c>
      <c r="AH58" s="3" t="s">
        <v>6</v>
      </c>
      <c r="AI58" s="71">
        <f>AG58*IF(AH58="G", 450, IF(AH58="D", 350, 0)) * IF(AF58="Y", 1.2, 1)*(INDEX(屬性克制表!$B$2:$T$20, MATCH(AE58, 屬性克制表!$A$2:$A$20, 0), MATCH($L$1, 屬性克制表!$B$1:$T$1, 0)) * INDEX(屬性克制表!$B$2:$T$20, MATCH(AE58, 屬性克制表!$A$2:$A$20, 0), MATCH($M$1, 屬性克制表!$B$1:$T$1, 0)))</f>
        <v>65800</v>
      </c>
      <c r="AJ58">
        <f>_xlfn.XLOOKUP(AD58, 數據!B$2:B$50, 數據!M$2:M$50)</f>
        <v>188</v>
      </c>
      <c r="AK58" s="88" t="str">
        <f t="shared" si="3"/>
        <v>冰伊布</v>
      </c>
      <c r="AL58" s="74">
        <f>AB58/(INDEX(屬性克制表!$B$2:$T$20, MATCH($A$1, 屬性克制表!$A$2:$A$20, 0), MATCH(Z58, 屬性克制表!$B$1:$T$1, 0)) * INDEX(屬性克制表!$B$2:$T$20, MATCH($A$1, 屬性克制表!$A$2:$A$20, 0), MATCH(AA58, 屬性克制表!$B$1:$T$1, 0)))</f>
        <v>15.225</v>
      </c>
      <c r="AM58" s="88" t="str">
        <f t="shared" si="4"/>
        <v>冰伊布</v>
      </c>
      <c r="AN58" s="56">
        <f>AB58/(INDEX(屬性克制表!$B$2:$T$20, MATCH($C$1, 屬性克制表!$A$2:$A$20, 0), MATCH(Z58, 屬性克制表!$B$1:$T$1, 0)) * INDEX(屬性克制表!$B$2:$T$20, MATCH($C$1, 屬性克制表!$A$2:$A$20, 0), MATCH(AA58, 屬性克制表!$B$1:$T$1, 0)))</f>
        <v>24.36</v>
      </c>
      <c r="AO58" s="88" t="str">
        <f t="shared" si="5"/>
        <v>冰伊布</v>
      </c>
      <c r="AP58" s="56">
        <f>AB58/(INDEX(屬性克制表!$B$2:$T$20, MATCH($E$1, 屬性克制表!$A$2:$A$20, 0), MATCH(Z58, 屬性克制表!$B$1:$T$1, 0)) * INDEX(屬性克制表!$B$2:$T$20, MATCH($E$1, 屬性克制表!$A$2:$A$20, 0), MATCH(AA58, 屬性克制表!$B$1:$T$1, 0)))</f>
        <v>24.36</v>
      </c>
      <c r="AQ58" s="88" t="str">
        <f t="shared" si="6"/>
        <v>冰伊布</v>
      </c>
      <c r="AR58" s="56">
        <f>AB58/(INDEX(屬性克制表!$B$2:$T$20, MATCH($G$1, 屬性克制表!$A$2:$A$20, 0), MATCH(Z58, 屬性克制表!$B$1:$T$1, 0)) * INDEX(屬性克制表!$B$2:$T$20, MATCH($G$1, 屬性克制表!$A$2:$A$20, 0), MATCH(AA58, 屬性克制表!$B$1:$T$1, 0)))</f>
        <v>24.36</v>
      </c>
    </row>
    <row r="59" spans="1:44">
      <c r="A59" s="82" t="str">
        <v>多刺菊石獸</v>
      </c>
      <c r="B59" s="83">
        <v>15.909999999999998</v>
      </c>
      <c r="C59" s="81" t="str">
        <v>雷伊布</v>
      </c>
      <c r="D59" s="83">
        <v>13.649999999999999</v>
      </c>
      <c r="E59" s="81" t="str">
        <v>炎帝</v>
      </c>
      <c r="F59" s="83">
        <v>14.719999999999999</v>
      </c>
      <c r="G59" s="81" t="str">
        <v>巴大蝶</v>
      </c>
      <c r="H59" s="83">
        <v>15.827</v>
      </c>
      <c r="J59" s="48" t="str">
        <v>鋁鋼龍</v>
      </c>
      <c r="K59" s="48" t="str">
        <v>一般</v>
      </c>
      <c r="L59" s="48" t="str">
        <v>N</v>
      </c>
      <c r="M59" s="48">
        <v>201</v>
      </c>
      <c r="N59" s="48" t="str">
        <v>D</v>
      </c>
      <c r="O59" s="79">
        <v>70350</v>
      </c>
      <c r="P59" s="91">
        <f t="shared" si="2"/>
        <v>0.32231373152709353</v>
      </c>
      <c r="Q59" s="71"/>
      <c r="R59" s="71"/>
      <c r="S59" s="71"/>
      <c r="T59" s="71"/>
      <c r="U59" s="71"/>
      <c r="V59" s="71"/>
      <c r="W59" s="71"/>
      <c r="X59" s="71"/>
      <c r="Y59" s="87" t="str">
        <f>數據!B58</f>
        <v>仙子伊布</v>
      </c>
      <c r="Z59" s="87" t="str">
        <f>數據!C58</f>
        <v>妖精</v>
      </c>
      <c r="AA59" s="87" t="str">
        <f>數據!D58</f>
        <v>無</v>
      </c>
      <c r="AB59" s="51">
        <f>數據!P58</f>
        <v>31.486000000000001</v>
      </c>
      <c r="AD59" s="3" t="s">
        <v>0</v>
      </c>
      <c r="AE59" s="4" t="s">
        <v>45</v>
      </c>
      <c r="AF59" s="4" t="s">
        <v>135</v>
      </c>
      <c r="AG59" s="3">
        <f t="shared" si="1"/>
        <v>187</v>
      </c>
      <c r="AH59" s="3" t="s">
        <v>6</v>
      </c>
      <c r="AI59" s="71">
        <f>AG59*IF(AH59="G", 450, IF(AH59="D", 350, 0)) * IF(AF59="Y", 1.2, 1)*(INDEX(屬性克制表!$B$2:$T$20, MATCH(AE59, 屬性克制表!$A$2:$A$20, 0), MATCH($L$1, 屬性克制表!$B$1:$T$1, 0)) * INDEX(屬性克制表!$B$2:$T$20, MATCH(AE59, 屬性克制表!$A$2:$A$20, 0), MATCH($M$1, 屬性克制表!$B$1:$T$1, 0)))</f>
        <v>65450</v>
      </c>
      <c r="AJ59">
        <f>_xlfn.XLOOKUP(AD59, 數據!B$2:B$50, 數據!M$2:M$50)</f>
        <v>187</v>
      </c>
      <c r="AK59" s="88" t="str">
        <f t="shared" si="3"/>
        <v>仙子伊布</v>
      </c>
      <c r="AL59" s="74">
        <f>AB59/(INDEX(屬性克制表!$B$2:$T$20, MATCH($A$1, 屬性克制表!$A$2:$A$20, 0), MATCH(Z59, 屬性克制表!$B$1:$T$1, 0)) * INDEX(屬性克制表!$B$2:$T$20, MATCH($A$1, 屬性克制表!$A$2:$A$20, 0), MATCH(AA59, 屬性克制表!$B$1:$T$1, 0)))</f>
        <v>50.377600000000001</v>
      </c>
      <c r="AM59" s="88" t="str">
        <f t="shared" si="4"/>
        <v>仙子伊布</v>
      </c>
      <c r="AN59" s="56">
        <f>AB59/(INDEX(屬性克制表!$B$2:$T$20, MATCH($C$1, 屬性克制表!$A$2:$A$20, 0), MATCH(Z59, 屬性克制表!$B$1:$T$1, 0)) * INDEX(屬性克制表!$B$2:$T$20, MATCH($C$1, 屬性克制表!$A$2:$A$20, 0), MATCH(AA59, 屬性克制表!$B$1:$T$1, 0)))</f>
        <v>31.486000000000001</v>
      </c>
      <c r="AO59" s="88" t="str">
        <f t="shared" si="5"/>
        <v>仙子伊布</v>
      </c>
      <c r="AP59" s="56">
        <f>AB59/(INDEX(屬性克制表!$B$2:$T$20, MATCH($E$1, 屬性克制表!$A$2:$A$20, 0), MATCH(Z59, 屬性克制表!$B$1:$T$1, 0)) * INDEX(屬性克制表!$B$2:$T$20, MATCH($E$1, 屬性克制表!$A$2:$A$20, 0), MATCH(AA59, 屬性克制表!$B$1:$T$1, 0)))</f>
        <v>31.486000000000001</v>
      </c>
      <c r="AQ59" s="88" t="str">
        <f t="shared" si="6"/>
        <v>仙子伊布</v>
      </c>
      <c r="AR59" s="56">
        <f>AB59/(INDEX(屬性克制表!$B$2:$T$20, MATCH($G$1, 屬性克制表!$A$2:$A$20, 0), MATCH(Z59, 屬性克制表!$B$1:$T$1, 0)) * INDEX(屬性克制表!$B$2:$T$20, MATCH($G$1, 屬性克制表!$A$2:$A$20, 0), MATCH(AA59, 屬性克制表!$B$1:$T$1, 0)))</f>
        <v>31.486000000000001</v>
      </c>
    </row>
    <row r="60" spans="1:44">
      <c r="A60" s="82" t="str">
        <v>毛毛角羊</v>
      </c>
      <c r="B60" s="83">
        <v>15.551874999999999</v>
      </c>
      <c r="C60" s="81" t="str">
        <v>火伊布</v>
      </c>
      <c r="D60" s="83">
        <v>13.387500000000001</v>
      </c>
      <c r="E60" s="81" t="str">
        <v>噴火龍</v>
      </c>
      <c r="F60" s="83">
        <v>14.137499999999999</v>
      </c>
      <c r="G60" s="81" t="str">
        <v>心蝙蝠</v>
      </c>
      <c r="H60" s="83">
        <v>15.157999999999999</v>
      </c>
      <c r="J60" s="48" t="str">
        <v>艾路雷朵</v>
      </c>
      <c r="K60" s="48" t="str">
        <v>妖精</v>
      </c>
      <c r="L60" s="48" t="str">
        <v>N</v>
      </c>
      <c r="M60" s="48">
        <v>199</v>
      </c>
      <c r="N60" s="48" t="str">
        <v>D</v>
      </c>
      <c r="O60" s="79">
        <v>69650</v>
      </c>
      <c r="P60" s="91">
        <f t="shared" si="2"/>
        <v>0.3191066297208538</v>
      </c>
      <c r="Q60" s="71"/>
      <c r="R60" s="71"/>
      <c r="S60" s="71"/>
      <c r="T60" s="71"/>
      <c r="U60" s="71"/>
      <c r="V60" s="71"/>
      <c r="W60" s="71"/>
      <c r="X60" s="71"/>
      <c r="Y60" s="87" t="str">
        <f>數據!B59</f>
        <v>艾路雷朵</v>
      </c>
      <c r="Z60" s="87" t="str">
        <f>數據!C59</f>
        <v>超能力</v>
      </c>
      <c r="AA60" s="87" t="str">
        <f>數據!D59</f>
        <v>格鬥</v>
      </c>
      <c r="AB60" s="51">
        <f>數據!P59</f>
        <v>24.07</v>
      </c>
      <c r="AD60" s="4" t="s">
        <v>54</v>
      </c>
      <c r="AE60" s="4" t="s">
        <v>73</v>
      </c>
      <c r="AF60" s="4" t="s">
        <v>135</v>
      </c>
      <c r="AG60" s="3">
        <f t="shared" si="1"/>
        <v>185</v>
      </c>
      <c r="AH60" s="4" t="s">
        <v>6</v>
      </c>
      <c r="AI60" s="71">
        <f>AG60*IF(AH60="G", 450, IF(AH60="D", 350, 0)) * IF(AF60="Y", 1.2, 1)*(INDEX(屬性克制表!$B$2:$T$20, MATCH(AE60, 屬性克制表!$A$2:$A$20, 0), MATCH($L$1, 屬性克制表!$B$1:$T$1, 0)) * INDEX(屬性克制表!$B$2:$T$20, MATCH(AE60, 屬性克制表!$A$2:$A$20, 0), MATCH($M$1, 屬性克制表!$B$1:$T$1, 0)))</f>
        <v>40468.75</v>
      </c>
      <c r="AJ60">
        <f>_xlfn.XLOOKUP(AD60, 數據!B$2:B$50, 數據!M$2:M$50)</f>
        <v>185</v>
      </c>
      <c r="AK60" s="88" t="str">
        <f t="shared" si="3"/>
        <v>艾路雷朵</v>
      </c>
      <c r="AL60" s="74">
        <f>AB60/(INDEX(屬性克制表!$B$2:$T$20, MATCH($A$1, 屬性克制表!$A$2:$A$20, 0), MATCH(Z60, 屬性克制表!$B$1:$T$1, 0)) * INDEX(屬性克制表!$B$2:$T$20, MATCH($A$1, 屬性克制表!$A$2:$A$20, 0), MATCH(AA60, 屬性克制表!$B$1:$T$1, 0)))</f>
        <v>38.512</v>
      </c>
      <c r="AM60" s="88" t="str">
        <f t="shared" si="4"/>
        <v>艾路雷朵</v>
      </c>
      <c r="AN60" s="56">
        <f>AB60/(INDEX(屬性克制表!$B$2:$T$20, MATCH($C$1, 屬性克制表!$A$2:$A$20, 0), MATCH(Z60, 屬性克制表!$B$1:$T$1, 0)) * INDEX(屬性克制表!$B$2:$T$20, MATCH($C$1, 屬性克制表!$A$2:$A$20, 0), MATCH(AA60, 屬性克制表!$B$1:$T$1, 0)))</f>
        <v>24.07</v>
      </c>
      <c r="AO60" s="88" t="str">
        <f t="shared" si="5"/>
        <v>艾路雷朵</v>
      </c>
      <c r="AP60" s="56">
        <f>AB60/(INDEX(屬性克制表!$B$2:$T$20, MATCH($E$1, 屬性克制表!$A$2:$A$20, 0), MATCH(Z60, 屬性克制表!$B$1:$T$1, 0)) * INDEX(屬性克制表!$B$2:$T$20, MATCH($E$1, 屬性克制表!$A$2:$A$20, 0), MATCH(AA60, 屬性克制表!$B$1:$T$1, 0)))</f>
        <v>24.07</v>
      </c>
      <c r="AQ60" s="88" t="str">
        <f t="shared" si="6"/>
        <v>艾路雷朵</v>
      </c>
      <c r="AR60" s="56">
        <f>AB60/(INDEX(屬性克制表!$B$2:$T$20, MATCH($G$1, 屬性克制表!$A$2:$A$20, 0), MATCH(Z60, 屬性克制表!$B$1:$T$1, 0)) * INDEX(屬性克制表!$B$2:$T$20, MATCH($G$1, 屬性克制表!$A$2:$A$20, 0), MATCH(AA60, 屬性克制表!$B$1:$T$1, 0)))</f>
        <v>24.07</v>
      </c>
    </row>
    <row r="61" spans="1:44">
      <c r="A61" s="89" t="str">
        <v>冰伊布</v>
      </c>
      <c r="B61" s="100">
        <v>15.225</v>
      </c>
      <c r="C61" s="84" t="str">
        <v>超級巨伊布</v>
      </c>
      <c r="D61" s="100">
        <v>12.954000000000001</v>
      </c>
      <c r="E61" s="84" t="str">
        <v>勾魂眼</v>
      </c>
      <c r="F61" s="100">
        <v>13.688000000000001</v>
      </c>
      <c r="G61" s="84" t="str">
        <v>烏賊王</v>
      </c>
      <c r="H61" s="100">
        <v>14.998749999999999</v>
      </c>
      <c r="J61" s="48" t="str">
        <v>巨鉗蟹</v>
      </c>
      <c r="K61" s="48" t="str">
        <v>鋼</v>
      </c>
      <c r="L61" s="48" t="str">
        <v>N</v>
      </c>
      <c r="M61" s="48">
        <v>198</v>
      </c>
      <c r="N61" s="48" t="str">
        <v>D</v>
      </c>
      <c r="O61" s="79">
        <v>69300</v>
      </c>
      <c r="P61" s="91">
        <f t="shared" si="2"/>
        <v>0.31750307881773393</v>
      </c>
      <c r="Q61" s="71"/>
      <c r="R61" s="71"/>
      <c r="S61" s="71"/>
      <c r="T61" s="71"/>
      <c r="U61" s="71"/>
      <c r="V61" s="71"/>
      <c r="W61" s="71"/>
      <c r="X61" s="71"/>
      <c r="Y61" s="87" t="str">
        <f>數據!B60</f>
        <v>烏賊王</v>
      </c>
      <c r="Z61" s="87" t="str">
        <f>數據!C60</f>
        <v>惡</v>
      </c>
      <c r="AA61" s="87" t="str">
        <f>數據!D60</f>
        <v>超能力</v>
      </c>
      <c r="AB61" s="51">
        <f>數據!P60</f>
        <v>23.998000000000001</v>
      </c>
      <c r="AD61" s="3" t="s">
        <v>54</v>
      </c>
      <c r="AE61" s="4" t="s">
        <v>46</v>
      </c>
      <c r="AF61" s="4" t="s">
        <v>135</v>
      </c>
      <c r="AG61" s="3">
        <f t="shared" si="1"/>
        <v>185</v>
      </c>
      <c r="AH61" s="3" t="s">
        <v>6</v>
      </c>
      <c r="AI61" s="71">
        <f>AG61*IF(AH61="G", 450, IF(AH61="D", 350, 0)) * IF(AF61="Y", 1.2, 1)*(INDEX(屬性克制表!$B$2:$T$20, MATCH(AE61, 屬性克制表!$A$2:$A$20, 0), MATCH($L$1, 屬性克制表!$B$1:$T$1, 0)) * INDEX(屬性克制表!$B$2:$T$20, MATCH(AE61, 屬性克制表!$A$2:$A$20, 0), MATCH($M$1, 屬性克制表!$B$1:$T$1, 0)))</f>
        <v>64750</v>
      </c>
      <c r="AJ61">
        <f>_xlfn.XLOOKUP(AD61, 數據!B$2:B$50, 數據!M$2:M$50)</f>
        <v>185</v>
      </c>
      <c r="AK61" s="88" t="str">
        <f t="shared" si="3"/>
        <v>烏賊王</v>
      </c>
      <c r="AL61" s="74">
        <f>AB61/(INDEX(屬性克制表!$B$2:$T$20, MATCH($A$1, 屬性克制表!$A$2:$A$20, 0), MATCH(Z61, 屬性克制表!$B$1:$T$1, 0)) * INDEX(屬性克制表!$B$2:$T$20, MATCH($A$1, 屬性克制表!$A$2:$A$20, 0), MATCH(AA61, 屬性克制表!$B$1:$T$1, 0)))</f>
        <v>23.998000000000001</v>
      </c>
      <c r="AM61" s="88" t="str">
        <f t="shared" si="4"/>
        <v>烏賊王</v>
      </c>
      <c r="AN61" s="56">
        <f>AB61/(INDEX(屬性克制表!$B$2:$T$20, MATCH($C$1, 屬性克制表!$A$2:$A$20, 0), MATCH(Z61, 屬性克制表!$B$1:$T$1, 0)) * INDEX(屬性克制表!$B$2:$T$20, MATCH($C$1, 屬性克制表!$A$2:$A$20, 0), MATCH(AA61, 屬性克制表!$B$1:$T$1, 0)))</f>
        <v>23.998000000000001</v>
      </c>
      <c r="AO61" s="88" t="str">
        <f t="shared" si="5"/>
        <v>烏賊王</v>
      </c>
      <c r="AP61" s="56">
        <f>AB61/(INDEX(屬性克制表!$B$2:$T$20, MATCH($E$1, 屬性克制表!$A$2:$A$20, 0), MATCH(Z61, 屬性克制表!$B$1:$T$1, 0)) * INDEX(屬性克制表!$B$2:$T$20, MATCH($E$1, 屬性克制表!$A$2:$A$20, 0), MATCH(AA61, 屬性克制表!$B$1:$T$1, 0)))</f>
        <v>23.998000000000001</v>
      </c>
      <c r="AQ61" s="88" t="str">
        <f t="shared" si="6"/>
        <v>烏賊王</v>
      </c>
      <c r="AR61" s="56">
        <f>AB61/(INDEX(屬性克制表!$B$2:$T$20, MATCH($G$1, 屬性克制表!$A$2:$A$20, 0), MATCH(Z61, 屬性克制表!$B$1:$T$1, 0)) * INDEX(屬性克制表!$B$2:$T$20, MATCH($G$1, 屬性克制表!$A$2:$A$20, 0), MATCH(AA61, 屬性克制表!$B$1:$T$1, 0)))</f>
        <v>14.998749999999999</v>
      </c>
    </row>
    <row r="62" spans="1:44">
      <c r="A62" s="82" t="str">
        <v>龍頭地鼠</v>
      </c>
      <c r="B62" s="3">
        <v>14.80625</v>
      </c>
      <c r="C62" s="82" t="str">
        <v>狒狒達摩</v>
      </c>
      <c r="D62" s="3">
        <v>12.0625</v>
      </c>
      <c r="E62" s="82" t="str">
        <v>火伊布</v>
      </c>
      <c r="F62" s="3">
        <v>13.387500000000001</v>
      </c>
      <c r="G62" s="82" t="str">
        <v>拉帝亞斯</v>
      </c>
      <c r="H62" s="76">
        <v>13.942499999999999</v>
      </c>
      <c r="J62" s="48" t="str">
        <v>轟擂金剛猩</v>
      </c>
      <c r="K62" s="48" t="str">
        <v>草</v>
      </c>
      <c r="L62" s="48" t="str">
        <v>Y</v>
      </c>
      <c r="M62" s="48">
        <v>200</v>
      </c>
      <c r="N62" s="48" t="str">
        <v>G</v>
      </c>
      <c r="O62" s="79">
        <v>67500</v>
      </c>
      <c r="P62" s="91">
        <f t="shared" si="2"/>
        <v>0.30925624560168891</v>
      </c>
      <c r="Q62" s="71"/>
      <c r="R62" s="71"/>
      <c r="S62" s="71"/>
      <c r="T62" s="71"/>
      <c r="U62" s="71"/>
      <c r="V62" s="71"/>
      <c r="W62" s="71"/>
      <c r="X62" s="71"/>
      <c r="Y62" s="87" t="str">
        <f>數據!B61</f>
        <v>心蝙蝠</v>
      </c>
      <c r="Z62" s="87" t="str">
        <f>數據!C61</f>
        <v>超能力</v>
      </c>
      <c r="AA62" s="87" t="str">
        <f>數據!D61</f>
        <v>飛行</v>
      </c>
      <c r="AB62" s="51">
        <f>數據!P61</f>
        <v>15.157999999999999</v>
      </c>
      <c r="AD62" s="4" t="s">
        <v>84</v>
      </c>
      <c r="AE62" s="4" t="s">
        <v>73</v>
      </c>
      <c r="AF62" s="4" t="s">
        <v>135</v>
      </c>
      <c r="AG62" s="3">
        <f t="shared" si="1"/>
        <v>177</v>
      </c>
      <c r="AH62" s="4" t="s">
        <v>6</v>
      </c>
      <c r="AI62" s="71">
        <f>AG62*IF(AH62="G", 450, IF(AH62="D", 350, 0)) * IF(AF62="Y", 1.2, 1)*(INDEX(屬性克制表!$B$2:$T$20, MATCH(AE62, 屬性克制表!$A$2:$A$20, 0), MATCH($L$1, 屬性克制表!$B$1:$T$1, 0)) * INDEX(屬性克制表!$B$2:$T$20, MATCH(AE62, 屬性克制表!$A$2:$A$20, 0), MATCH($M$1, 屬性克制表!$B$1:$T$1, 0)))</f>
        <v>38718.75</v>
      </c>
      <c r="AJ62">
        <f>_xlfn.XLOOKUP(AD62, 數據!B$2:B$50, 數據!M$2:M$50)</f>
        <v>177</v>
      </c>
      <c r="AK62" s="88" t="str">
        <f t="shared" si="3"/>
        <v>心蝙蝠</v>
      </c>
      <c r="AL62" s="74">
        <f>AB62/(INDEX(屬性克制表!$B$2:$T$20, MATCH($A$1, 屬性克制表!$A$2:$A$20, 0), MATCH(Z62, 屬性克制表!$B$1:$T$1, 0)) * INDEX(屬性克制表!$B$2:$T$20, MATCH($A$1, 屬性克制表!$A$2:$A$20, 0), MATCH(AA62, 屬性克制表!$B$1:$T$1, 0)))</f>
        <v>38.804479999999998</v>
      </c>
      <c r="AM62" s="88" t="str">
        <f t="shared" si="4"/>
        <v>心蝙蝠</v>
      </c>
      <c r="AN62" s="56">
        <f>AB62/(INDEX(屬性克制表!$B$2:$T$20, MATCH($C$1, 屬性克制表!$A$2:$A$20, 0), MATCH(Z62, 屬性克制表!$B$1:$T$1, 0)) * INDEX(屬性克制表!$B$2:$T$20, MATCH($C$1, 屬性克制表!$A$2:$A$20, 0), MATCH(AA62, 屬性克制表!$B$1:$T$1, 0)))</f>
        <v>38.767263427109974</v>
      </c>
      <c r="AO62" s="88" t="str">
        <f t="shared" si="5"/>
        <v>心蝙蝠</v>
      </c>
      <c r="AP62" s="56">
        <f>AB62/(INDEX(屬性克制表!$B$2:$T$20, MATCH($E$1, 屬性克制表!$A$2:$A$20, 0), MATCH(Z62, 屬性克制表!$B$1:$T$1, 0)) * INDEX(屬性克制表!$B$2:$T$20, MATCH($E$1, 屬性克制表!$A$2:$A$20, 0), MATCH(AA62, 屬性克制表!$B$1:$T$1, 0)))</f>
        <v>15.157999999999999</v>
      </c>
      <c r="AQ62" s="88" t="str">
        <f t="shared" si="6"/>
        <v>心蝙蝠</v>
      </c>
      <c r="AR62" s="56">
        <f>AB62/(INDEX(屬性克制表!$B$2:$T$20, MATCH($G$1, 屬性克制表!$A$2:$A$20, 0), MATCH(Z62, 屬性克制表!$B$1:$T$1, 0)) * INDEX(屬性克制表!$B$2:$T$20, MATCH($G$1, 屬性克制表!$A$2:$A$20, 0), MATCH(AA62, 屬性克制表!$B$1:$T$1, 0)))</f>
        <v>15.157999999999999</v>
      </c>
    </row>
    <row r="63" spans="1:44">
      <c r="A63" s="82" t="str">
        <v>鋁鋼龍</v>
      </c>
      <c r="B63" s="3">
        <v>14.516249999999999</v>
      </c>
      <c r="C63" s="82" t="str">
        <v>耿鬼</v>
      </c>
      <c r="D63" s="3">
        <v>11.389999999999999</v>
      </c>
      <c r="E63" s="82" t="str">
        <v>超級巨伊布</v>
      </c>
      <c r="F63" s="3">
        <v>12.954000000000001</v>
      </c>
      <c r="G63" s="82" t="str">
        <v>超級巨伊布</v>
      </c>
      <c r="H63" s="3">
        <v>12.954000000000001</v>
      </c>
      <c r="J63" s="48" t="str">
        <v>列陣兵</v>
      </c>
      <c r="K63" s="48" t="str">
        <v>格鬥</v>
      </c>
      <c r="L63" s="48" t="str">
        <v>Y</v>
      </c>
      <c r="M63" s="48">
        <v>160</v>
      </c>
      <c r="N63" s="48" t="str">
        <v>D</v>
      </c>
      <c r="O63" s="79">
        <v>67200</v>
      </c>
      <c r="P63" s="91">
        <f t="shared" si="2"/>
        <v>0.30788177339901474</v>
      </c>
      <c r="Q63" s="71"/>
      <c r="R63" s="71"/>
      <c r="S63" s="71"/>
      <c r="T63" s="71"/>
      <c r="U63" s="71"/>
      <c r="V63" s="71"/>
      <c r="W63" s="71"/>
      <c r="X63" s="71"/>
      <c r="Y63" s="87" t="str">
        <f>數據!B62</f>
        <v>超極巨灰塵山</v>
      </c>
      <c r="Z63" s="87" t="str">
        <f>數據!C62</f>
        <v>毒</v>
      </c>
      <c r="AA63" s="87" t="str">
        <f>數據!D62</f>
        <v>無</v>
      </c>
      <c r="AB63" s="51">
        <f>數據!P62</f>
        <v>22.4</v>
      </c>
      <c r="AD63" s="3" t="s">
        <v>34</v>
      </c>
      <c r="AE63" s="4" t="s">
        <v>46</v>
      </c>
      <c r="AF63" s="4" t="s">
        <v>134</v>
      </c>
      <c r="AG63" s="3">
        <f t="shared" si="1"/>
        <v>143</v>
      </c>
      <c r="AH63" s="3" t="s">
        <v>6</v>
      </c>
      <c r="AI63" s="71">
        <f>AG63*IF(AH63="G", 450, IF(AH63="D", 350, 0)) * IF(AF63="Y", 1.2, 1)*(INDEX(屬性克制表!$B$2:$T$20, MATCH(AE63, 屬性克制表!$A$2:$A$20, 0), MATCH($L$1, 屬性克制表!$B$1:$T$1, 0)) * INDEX(屬性克制表!$B$2:$T$20, MATCH(AE63, 屬性克制表!$A$2:$A$20, 0), MATCH($M$1, 屬性克制表!$B$1:$T$1, 0)))</f>
        <v>60060</v>
      </c>
      <c r="AJ63">
        <f>_xlfn.XLOOKUP(AD63, 數據!B$2:B$50, 數據!M$2:M$50)</f>
        <v>143</v>
      </c>
      <c r="AK63" s="88" t="str">
        <f t="shared" ref="AK63:AK66" si="7">Y63</f>
        <v>超極巨灰塵山</v>
      </c>
      <c r="AL63" s="74">
        <f>AB63/(INDEX(屬性克制表!$B$2:$T$20, MATCH($A$1, 屬性克制表!$A$2:$A$20, 0), MATCH(Z63, 屬性克制表!$B$1:$T$1, 0)) * INDEX(屬性克制表!$B$2:$T$20, MATCH($A$1, 屬性克制表!$A$2:$A$20, 0), MATCH(AA63, 屬性克制表!$B$1:$T$1, 0)))</f>
        <v>35.839999999999996</v>
      </c>
      <c r="AM63" s="88" t="str">
        <f t="shared" ref="AM63:AM66" si="8">Y63</f>
        <v>超極巨灰塵山</v>
      </c>
      <c r="AN63" s="56">
        <f>AB63/(INDEX(屬性克制表!$B$2:$T$20, MATCH($C$1, 屬性克制表!$A$2:$A$20, 0), MATCH(Z63, 屬性克制表!$B$1:$T$1, 0)) * INDEX(屬性克制表!$B$2:$T$20, MATCH($C$1, 屬性克制表!$A$2:$A$20, 0), MATCH(AA63, 屬性克制表!$B$1:$T$1, 0)))</f>
        <v>13.999999999999998</v>
      </c>
      <c r="AO63" s="88" t="str">
        <f t="shared" ref="AO63:AO66" si="9">Y63</f>
        <v>超極巨灰塵山</v>
      </c>
      <c r="AP63" s="56">
        <f>AB63/(INDEX(屬性克制表!$B$2:$T$20, MATCH($E$1, 屬性克制表!$A$2:$A$20, 0), MATCH(Z63, 屬性克制表!$B$1:$T$1, 0)) * INDEX(屬性克制表!$B$2:$T$20, MATCH($E$1, 屬性克制表!$A$2:$A$20, 0), MATCH(AA63, 屬性克制表!$B$1:$T$1, 0)))</f>
        <v>22.4</v>
      </c>
      <c r="AQ63" s="88" t="str">
        <f t="shared" ref="AQ63:AQ66" si="10">Y63</f>
        <v>超極巨灰塵山</v>
      </c>
      <c r="AR63" s="56">
        <f>AB63/(INDEX(屬性克制表!$B$2:$T$20, MATCH($G$1, 屬性克制表!$A$2:$A$20, 0), MATCH(Z63, 屬性克制表!$B$1:$T$1, 0)) * INDEX(屬性克制表!$B$2:$T$20, MATCH($G$1, 屬性克制表!$A$2:$A$20, 0), MATCH(AA63, 屬性克制表!$B$1:$T$1, 0)))</f>
        <v>35.839999999999996</v>
      </c>
    </row>
    <row r="64" spans="1:44">
      <c r="A64" s="82" t="str">
        <v>超級巨伊布</v>
      </c>
      <c r="B64" s="3">
        <v>8.0962499999999995</v>
      </c>
      <c r="C64" s="82" t="str">
        <v>戰弦蠑螈</v>
      </c>
      <c r="D64" s="3">
        <v>7.2789062499999986</v>
      </c>
      <c r="E64" s="82" t="str">
        <v>狒狒達摩</v>
      </c>
      <c r="F64" s="3">
        <v>12.0625</v>
      </c>
      <c r="G64" s="82" t="str">
        <v>勾魂眼</v>
      </c>
      <c r="H64" s="3">
        <v>8.5549999999999997</v>
      </c>
      <c r="J64" s="48" t="str">
        <v>巨鉗蟹</v>
      </c>
      <c r="K64" s="48" t="str">
        <v>水</v>
      </c>
      <c r="L64" s="48" t="str">
        <v>Y</v>
      </c>
      <c r="M64" s="48">
        <v>198</v>
      </c>
      <c r="N64" s="48" t="str">
        <v>G</v>
      </c>
      <c r="O64" s="79">
        <v>66825</v>
      </c>
      <c r="P64" s="91">
        <f t="shared" si="2"/>
        <v>0.30616368314567199</v>
      </c>
      <c r="Q64" s="71"/>
      <c r="R64" s="71"/>
      <c r="S64" s="71"/>
      <c r="T64" s="71"/>
      <c r="U64" s="71"/>
      <c r="V64" s="71"/>
      <c r="W64" s="71"/>
      <c r="X64" s="71"/>
      <c r="Y64" s="87" t="str">
        <f>數據!B63</f>
        <v>洛奇亞</v>
      </c>
      <c r="Z64" s="87" t="str">
        <f>數據!C63</f>
        <v>超能力</v>
      </c>
      <c r="AA64" s="87" t="str">
        <f>數據!D63</f>
        <v>飛行</v>
      </c>
      <c r="AB64" s="51">
        <f>數據!P63</f>
        <v>50.628999999999998</v>
      </c>
      <c r="AD64" s="3" t="s">
        <v>61</v>
      </c>
      <c r="AE64" s="3" t="s">
        <v>43</v>
      </c>
      <c r="AF64" s="3" t="s">
        <v>134</v>
      </c>
      <c r="AG64" s="3">
        <f t="shared" si="1"/>
        <v>140</v>
      </c>
      <c r="AH64" s="3" t="s">
        <v>6</v>
      </c>
      <c r="AI64" s="71">
        <f>AG64*IF(AH64="G", 450, IF(AH64="D", 350, 0)) * IF(AF64="Y", 1.2, 1)*(INDEX(屬性克制表!$B$2:$T$20, MATCH(AE64, 屬性克制表!$A$2:$A$20, 0), MATCH($L$1, 屬性克制表!$B$1:$T$1, 0)) * INDEX(屬性克制表!$B$2:$T$20, MATCH(AE64, 屬性克制表!$A$2:$A$20, 0), MATCH($M$1, 屬性克制表!$B$1:$T$1, 0)))</f>
        <v>150528.00000000003</v>
      </c>
      <c r="AJ64">
        <f>_xlfn.XLOOKUP(AD64, 數據!B$2:B$50, 數據!M$2:M$50)</f>
        <v>140</v>
      </c>
      <c r="AK64" s="88" t="str">
        <f t="shared" si="7"/>
        <v>洛奇亞</v>
      </c>
      <c r="AL64" s="74">
        <f>AB64/(INDEX(屬性克制表!$B$2:$T$20, MATCH($A$1, 屬性克制表!$A$2:$A$20, 0), MATCH(Z64, 屬性克制表!$B$1:$T$1, 0)) * INDEX(屬性克制表!$B$2:$T$20, MATCH($A$1, 屬性克制表!$A$2:$A$20, 0), MATCH(AA64, 屬性克制表!$B$1:$T$1, 0)))</f>
        <v>129.61024</v>
      </c>
      <c r="AM64" s="88" t="str">
        <f t="shared" si="8"/>
        <v>洛奇亞</v>
      </c>
      <c r="AN64" s="56">
        <f>AB64/(INDEX(屬性克制表!$B$2:$T$20, MATCH($C$1, 屬性克制表!$A$2:$A$20, 0), MATCH(Z64, 屬性克制表!$B$1:$T$1, 0)) * INDEX(屬性克制表!$B$2:$T$20, MATCH($C$1, 屬性克制表!$A$2:$A$20, 0), MATCH(AA64, 屬性克制表!$B$1:$T$1, 0)))</f>
        <v>129.48593350383629</v>
      </c>
      <c r="AO64" s="88" t="str">
        <f t="shared" si="9"/>
        <v>洛奇亞</v>
      </c>
      <c r="AP64" s="56">
        <f>AB64/(INDEX(屬性克制表!$B$2:$T$20, MATCH($E$1, 屬性克制表!$A$2:$A$20, 0), MATCH(Z64, 屬性克制表!$B$1:$T$1, 0)) * INDEX(屬性克制表!$B$2:$T$20, MATCH($E$1, 屬性克制表!$A$2:$A$20, 0), MATCH(AA64, 屬性克制表!$B$1:$T$1, 0)))</f>
        <v>50.628999999999998</v>
      </c>
      <c r="AQ64" s="88" t="str">
        <f t="shared" si="10"/>
        <v>洛奇亞</v>
      </c>
      <c r="AR64" s="56">
        <f>AB64/(INDEX(屬性克制表!$B$2:$T$20, MATCH($G$1, 屬性克制表!$A$2:$A$20, 0), MATCH(Z64, 屬性克制表!$B$1:$T$1, 0)) * INDEX(屬性克制表!$B$2:$T$20, MATCH($G$1, 屬性克制表!$A$2:$A$20, 0), MATCH(AA64, 屬性克制表!$B$1:$T$1, 0)))</f>
        <v>50.628999999999998</v>
      </c>
    </row>
    <row r="65" spans="1:44">
      <c r="A65" s="82">
        <v>0</v>
      </c>
      <c r="B65" s="3">
        <v>0</v>
      </c>
      <c r="C65" s="82">
        <v>0</v>
      </c>
      <c r="D65" s="3">
        <v>0</v>
      </c>
      <c r="E65" s="82">
        <v>0</v>
      </c>
      <c r="F65" s="3">
        <v>0</v>
      </c>
      <c r="G65" s="82">
        <v>0</v>
      </c>
      <c r="H65" s="3">
        <v>0</v>
      </c>
      <c r="J65" s="48" t="str">
        <v>拉帝亞斯</v>
      </c>
      <c r="K65" s="48" t="str">
        <v>龍</v>
      </c>
      <c r="L65" s="48" t="str">
        <v>Y</v>
      </c>
      <c r="M65" s="48">
        <v>158</v>
      </c>
      <c r="N65" s="48" t="str">
        <v>D</v>
      </c>
      <c r="O65" s="79">
        <v>66360</v>
      </c>
      <c r="P65" s="91">
        <f t="shared" si="2"/>
        <v>0.30403325123152702</v>
      </c>
      <c r="Q65" s="71"/>
      <c r="R65" s="71"/>
      <c r="S65" s="71"/>
      <c r="T65" s="71"/>
      <c r="U65" s="71"/>
      <c r="V65" s="71"/>
      <c r="W65" s="71"/>
      <c r="X65" s="71"/>
      <c r="Y65" s="87">
        <f>數據!B64</f>
        <v>0</v>
      </c>
      <c r="Z65" s="87">
        <f>數據!C64</f>
        <v>0</v>
      </c>
      <c r="AA65" s="87">
        <f>數據!D64</f>
        <v>0</v>
      </c>
      <c r="AB65" s="51">
        <f>數據!P64</f>
        <v>0</v>
      </c>
      <c r="AD65" s="3" t="s">
        <v>61</v>
      </c>
      <c r="AE65" s="4" t="s">
        <v>71</v>
      </c>
      <c r="AF65" s="4" t="s">
        <v>134</v>
      </c>
      <c r="AG65" s="3">
        <f t="shared" si="1"/>
        <v>140</v>
      </c>
      <c r="AH65" s="3" t="s">
        <v>6</v>
      </c>
      <c r="AI65" s="71">
        <f>AG65*IF(AH65="G", 450, IF(AH65="D", 350, 0)) * IF(AF65="Y", 1.2, 1)*(INDEX(屬性克制表!$B$2:$T$20, MATCH(AE65, 屬性克制表!$A$2:$A$20, 0), MATCH($L$1, 屬性克制表!$B$1:$T$1, 0)) * INDEX(屬性克制表!$B$2:$T$20, MATCH(AE65, 屬性克制表!$A$2:$A$20, 0), MATCH($M$1, 屬性克制表!$B$1:$T$1, 0)))</f>
        <v>58800</v>
      </c>
      <c r="AJ65">
        <f>_xlfn.XLOOKUP(AD65, 數據!B$2:B$50, 數據!M$2:M$50)</f>
        <v>140</v>
      </c>
      <c r="AK65" s="88">
        <f t="shared" si="7"/>
        <v>0</v>
      </c>
      <c r="AL65" s="48"/>
      <c r="AM65" s="88">
        <f t="shared" si="8"/>
        <v>0</v>
      </c>
      <c r="AN65" s="56"/>
      <c r="AO65" s="88">
        <f t="shared" si="9"/>
        <v>0</v>
      </c>
      <c r="AP65" s="56"/>
      <c r="AQ65" s="88">
        <f t="shared" si="10"/>
        <v>0</v>
      </c>
      <c r="AR65" s="56"/>
    </row>
    <row r="66" spans="1:44">
      <c r="J66" s="48" t="str">
        <v>高傲雉雞</v>
      </c>
      <c r="K66" s="48" t="str">
        <v>鋼</v>
      </c>
      <c r="L66" s="48" t="str">
        <v>N</v>
      </c>
      <c r="M66" s="48">
        <v>188</v>
      </c>
      <c r="N66" s="48" t="str">
        <v>D</v>
      </c>
      <c r="O66" s="79">
        <v>65800</v>
      </c>
      <c r="P66" s="91">
        <f t="shared" si="2"/>
        <v>0.30146756978653527</v>
      </c>
      <c r="Q66" s="71"/>
      <c r="R66" s="71"/>
      <c r="S66" s="71"/>
      <c r="T66" s="71"/>
      <c r="U66" s="71"/>
      <c r="V66" s="71"/>
      <c r="W66" s="71"/>
      <c r="X66" s="71"/>
      <c r="Y66" s="87">
        <f>數據!B65</f>
        <v>0</v>
      </c>
      <c r="Z66" s="87">
        <f>數據!C65</f>
        <v>0</v>
      </c>
      <c r="AA66" s="87">
        <f>數據!D65</f>
        <v>0</v>
      </c>
      <c r="AB66" s="51">
        <f>數據!P65</f>
        <v>0</v>
      </c>
      <c r="AD66" s="7" t="s">
        <v>18</v>
      </c>
      <c r="AE66" s="3" t="s">
        <v>36</v>
      </c>
      <c r="AF66" s="3" t="s">
        <v>134</v>
      </c>
      <c r="AG66" s="3">
        <f t="shared" si="1"/>
        <v>210</v>
      </c>
      <c r="AH66" s="7" t="s">
        <v>6</v>
      </c>
      <c r="AI66" s="71">
        <f>AG66*IF(AH66="G", 450, IF(AH66="D", 350, 0)) * IF(AF66="Y", 1.2, 1)*(INDEX(屬性克制表!$B$2:$T$20, MATCH(AE66, 屬性克制表!$A$2:$A$20, 0), MATCH($L$1, 屬性克制表!$B$1:$T$1, 0)) * INDEX(屬性克制表!$B$2:$T$20, MATCH(AE66, 屬性克制表!$A$2:$A$20, 0), MATCH($M$1, 屬性克制表!$B$1:$T$1, 0)))</f>
        <v>55125</v>
      </c>
      <c r="AJ66">
        <f>_xlfn.XLOOKUP(AD66, 數據!B$2:B$50, 數據!M$2:M$50)</f>
        <v>210</v>
      </c>
      <c r="AK66" s="88">
        <f t="shared" si="7"/>
        <v>0</v>
      </c>
      <c r="AL66" s="48"/>
      <c r="AM66" s="88">
        <f t="shared" si="8"/>
        <v>0</v>
      </c>
      <c r="AN66" s="56"/>
      <c r="AO66" s="88">
        <f t="shared" si="9"/>
        <v>0</v>
      </c>
      <c r="AP66" s="56"/>
      <c r="AQ66" s="88">
        <f t="shared" si="10"/>
        <v>0</v>
      </c>
      <c r="AR66" s="56"/>
    </row>
    <row r="67" spans="1:44">
      <c r="J67" s="48" t="str">
        <v>噴火龍</v>
      </c>
      <c r="K67" s="48" t="str">
        <v>龍</v>
      </c>
      <c r="L67" s="48" t="str">
        <v>N</v>
      </c>
      <c r="M67" s="48">
        <v>187</v>
      </c>
      <c r="N67" s="48" t="str">
        <v>D</v>
      </c>
      <c r="O67" s="79">
        <v>65450</v>
      </c>
      <c r="P67" s="91">
        <f t="shared" si="2"/>
        <v>0.29986401888341541</v>
      </c>
      <c r="Q67" s="71"/>
      <c r="R67" s="71"/>
      <c r="S67" s="71"/>
      <c r="T67" s="71"/>
      <c r="U67" s="71"/>
      <c r="V67" s="71"/>
      <c r="W67" s="71"/>
      <c r="X67" s="71"/>
      <c r="AD67" s="3" t="s">
        <v>52</v>
      </c>
      <c r="AE67" s="4" t="s">
        <v>46</v>
      </c>
      <c r="AF67" s="4" t="s">
        <v>135</v>
      </c>
      <c r="AG67" s="3">
        <f t="shared" si="1"/>
        <v>153</v>
      </c>
      <c r="AH67" s="3" t="s">
        <v>6</v>
      </c>
      <c r="AI67" s="71">
        <f>AG67*IF(AH67="G", 450, IF(AH67="D", 350, 0)) * IF(AF67="Y", 1.2, 1)*(INDEX(屬性克制表!$B$2:$T$20, MATCH(AE67, 屬性克制表!$A$2:$A$20, 0), MATCH($L$1, 屬性克制表!$B$1:$T$1, 0)) * INDEX(屬性克制表!$B$2:$T$20, MATCH(AE67, 屬性克制表!$A$2:$A$20, 0), MATCH($M$1, 屬性克制表!$B$1:$T$1, 0)))</f>
        <v>53550</v>
      </c>
      <c r="AJ67">
        <f>_xlfn.XLOOKUP(AD67, 數據!B$2:B$50, 數據!M$2:M$50)</f>
        <v>153</v>
      </c>
    </row>
    <row r="68" spans="1:44">
      <c r="J68" s="48" t="str">
        <v>甜冷美后</v>
      </c>
      <c r="K68" s="48" t="str">
        <v>妖精</v>
      </c>
      <c r="L68" s="48" t="str">
        <v>N</v>
      </c>
      <c r="M68" s="48">
        <v>187</v>
      </c>
      <c r="N68" s="48" t="str">
        <v>D</v>
      </c>
      <c r="O68" s="79">
        <v>65450</v>
      </c>
      <c r="P68" s="91">
        <f t="shared" si="2"/>
        <v>0.29986401888341541</v>
      </c>
      <c r="Q68" s="71"/>
      <c r="R68" s="71"/>
      <c r="S68" s="71"/>
      <c r="T68" s="71"/>
      <c r="U68" s="71"/>
      <c r="V68" s="71"/>
      <c r="W68" s="71"/>
      <c r="X68" s="71"/>
      <c r="AD68" s="3" t="s">
        <v>24</v>
      </c>
      <c r="AE68" s="4" t="s">
        <v>97</v>
      </c>
      <c r="AF68" s="4" t="s">
        <v>135</v>
      </c>
      <c r="AG68" s="3">
        <f t="shared" ref="AG68:AG116" si="11">AJ68</f>
        <v>147</v>
      </c>
      <c r="AH68" s="3" t="s">
        <v>6</v>
      </c>
      <c r="AI68" s="71">
        <f>AG68*IF(AH68="G", 450, IF(AH68="D", 350, 0)) * IF(AF68="Y", 1.2, 1)*(INDEX(屬性克制表!$B$2:$T$20, MATCH(AE68, 屬性克制表!$A$2:$A$20, 0), MATCH($L$1, 屬性克制表!$B$1:$T$1, 0)) * INDEX(屬性克制表!$B$2:$T$20, MATCH(AE68, 屬性克制表!$A$2:$A$20, 0), MATCH($M$1, 屬性克制表!$B$1:$T$1, 0)))</f>
        <v>82320</v>
      </c>
      <c r="AJ68">
        <f>_xlfn.XLOOKUP(AD68, 數據!B$2:B$50, 數據!M$2:M$50)</f>
        <v>147</v>
      </c>
    </row>
    <row r="69" spans="1:44">
      <c r="J69" s="48" t="str">
        <v>鐮刀盔</v>
      </c>
      <c r="K69" s="48" t="str">
        <v>格鬥</v>
      </c>
      <c r="L69" s="48" t="str">
        <v>N</v>
      </c>
      <c r="M69" s="48">
        <v>185</v>
      </c>
      <c r="N69" s="48" t="str">
        <v>D</v>
      </c>
      <c r="O69" s="79">
        <v>64750</v>
      </c>
      <c r="P69" s="91">
        <f t="shared" ref="P69:P114" si="12">O69/$O$3</f>
        <v>0.29665691707717567</v>
      </c>
      <c r="Q69" s="71"/>
      <c r="R69" s="71"/>
      <c r="S69" s="71"/>
      <c r="T69" s="71"/>
      <c r="U69" s="71"/>
      <c r="V69" s="71"/>
      <c r="W69" s="71"/>
      <c r="X69" s="71"/>
      <c r="AD69" s="3" t="s">
        <v>25</v>
      </c>
      <c r="AE69" s="4" t="s">
        <v>37</v>
      </c>
      <c r="AF69" s="4" t="s">
        <v>135</v>
      </c>
      <c r="AG69" s="3">
        <f t="shared" si="11"/>
        <v>145</v>
      </c>
      <c r="AH69" s="3" t="s">
        <v>6</v>
      </c>
      <c r="AI69" s="71">
        <f>AG69*IF(AH69="G", 450, IF(AH69="D", 350, 0)) * IF(AF69="Y", 1.2, 1)*(INDEX(屬性克制表!$B$2:$T$20, MATCH(AE69, 屬性克制表!$A$2:$A$20, 0), MATCH($L$1, 屬性克制表!$B$1:$T$1, 0)) * INDEX(屬性克制表!$B$2:$T$20, MATCH(AE69, 屬性克制表!$A$2:$A$20, 0), MATCH($M$1, 屬性克制表!$B$1:$T$1, 0)))</f>
        <v>31718.75</v>
      </c>
      <c r="AJ69">
        <f>_xlfn.XLOOKUP(AD69, 數據!B$2:B$50, 數據!M$2:M$50)</f>
        <v>145</v>
      </c>
    </row>
    <row r="70" spans="1:44">
      <c r="J70" s="48" t="str">
        <v>鐮刀盔</v>
      </c>
      <c r="K70" s="48" t="str">
        <v>蟲</v>
      </c>
      <c r="L70" s="48" t="str">
        <v>N</v>
      </c>
      <c r="M70" s="48">
        <v>185</v>
      </c>
      <c r="N70" s="48" t="str">
        <v>D</v>
      </c>
      <c r="O70" s="79">
        <v>64750</v>
      </c>
      <c r="P70" s="91">
        <f t="shared" si="12"/>
        <v>0.29665691707717567</v>
      </c>
      <c r="Q70" s="71"/>
      <c r="R70" s="71"/>
      <c r="S70" s="71"/>
      <c r="T70" s="71"/>
      <c r="U70" s="71"/>
      <c r="V70" s="71"/>
      <c r="W70" s="71"/>
      <c r="X70" s="71"/>
      <c r="AD70" s="3" t="s">
        <v>50</v>
      </c>
      <c r="AE70" s="4" t="s">
        <v>72</v>
      </c>
      <c r="AF70" s="4" t="s">
        <v>134</v>
      </c>
      <c r="AG70" s="3">
        <f t="shared" si="11"/>
        <v>121</v>
      </c>
      <c r="AH70" s="3" t="s">
        <v>6</v>
      </c>
      <c r="AI70" s="71">
        <f>AG70*IF(AH70="G", 450, IF(AH70="D", 350, 0)) * IF(AF70="Y", 1.2, 1)*(INDEX(屬性克制表!$B$2:$T$20, MATCH(AE70, 屬性克制表!$A$2:$A$20, 0), MATCH($L$1, 屬性克制表!$B$1:$T$1, 0)) * INDEX(屬性克制表!$B$2:$T$20, MATCH(AE70, 屬性克制表!$A$2:$A$20, 0), MATCH($M$1, 屬性克制表!$B$1:$T$1, 0)))</f>
        <v>50820</v>
      </c>
      <c r="AJ70">
        <f>_xlfn.XLOOKUP(AD70, 數據!B$2:B$50, 數據!M$2:M$50)</f>
        <v>121</v>
      </c>
    </row>
    <row r="71" spans="1:44">
      <c r="J71" s="48" t="str">
        <v>戰弦蠑螈</v>
      </c>
      <c r="K71" s="48" t="str">
        <v>電</v>
      </c>
      <c r="L71" s="48" t="str">
        <v>Y</v>
      </c>
      <c r="M71" s="48">
        <v>188</v>
      </c>
      <c r="N71" s="48" t="str">
        <v>G</v>
      </c>
      <c r="O71" s="79">
        <v>63450</v>
      </c>
      <c r="P71" s="91">
        <f t="shared" si="12"/>
        <v>0.29070087086558755</v>
      </c>
      <c r="Q71" s="71"/>
      <c r="R71" s="71"/>
      <c r="S71" s="71"/>
      <c r="T71" s="71"/>
      <c r="U71" s="71"/>
      <c r="V71" s="71"/>
      <c r="W71" s="71"/>
      <c r="X71" s="71"/>
      <c r="AD71" s="3" t="s">
        <v>50</v>
      </c>
      <c r="AE71" s="4" t="s">
        <v>37</v>
      </c>
      <c r="AF71" s="4" t="s">
        <v>134</v>
      </c>
      <c r="AG71" s="3">
        <f t="shared" si="11"/>
        <v>121</v>
      </c>
      <c r="AH71" s="3" t="s">
        <v>6</v>
      </c>
      <c r="AI71" s="71">
        <f>AG71*IF(AH71="G", 450, IF(AH71="D", 350, 0)) * IF(AF71="Y", 1.2, 1)*(INDEX(屬性克制表!$B$2:$T$20, MATCH(AE71, 屬性克制表!$A$2:$A$20, 0), MATCH($L$1, 屬性克制表!$B$1:$T$1, 0)) * INDEX(屬性克制表!$B$2:$T$20, MATCH(AE71, 屬性克制表!$A$2:$A$20, 0), MATCH($M$1, 屬性克制表!$B$1:$T$1, 0)))</f>
        <v>31762.5</v>
      </c>
      <c r="AJ71">
        <f>_xlfn.XLOOKUP(AD71, 數據!B$2:B$50, 數據!M$2:M$50)</f>
        <v>121</v>
      </c>
    </row>
    <row r="72" spans="1:44">
      <c r="J72" s="48" t="str">
        <v>幸福蛋</v>
      </c>
      <c r="K72" s="48" t="str">
        <v>超能力</v>
      </c>
      <c r="L72" s="48" t="str">
        <v>N</v>
      </c>
      <c r="M72" s="48">
        <v>113</v>
      </c>
      <c r="N72" s="48" t="str">
        <v>D</v>
      </c>
      <c r="O72" s="79">
        <v>63280</v>
      </c>
      <c r="P72" s="91">
        <f t="shared" si="12"/>
        <v>0.28992200328407219</v>
      </c>
      <c r="Q72" s="71"/>
      <c r="R72" s="71"/>
      <c r="S72" s="71"/>
      <c r="T72" s="71"/>
      <c r="U72" s="71"/>
      <c r="V72" s="71"/>
      <c r="W72" s="71"/>
      <c r="X72" s="71"/>
      <c r="AD72" s="3" t="s">
        <v>34</v>
      </c>
      <c r="AE72" s="4" t="s">
        <v>97</v>
      </c>
      <c r="AF72" s="4" t="s">
        <v>135</v>
      </c>
      <c r="AG72" s="3">
        <f t="shared" si="11"/>
        <v>143</v>
      </c>
      <c r="AH72" s="3" t="s">
        <v>6</v>
      </c>
      <c r="AI72" s="71">
        <f>AG72*IF(AH72="G", 450, IF(AH72="D", 350, 0)) * IF(AF72="Y", 1.2, 1)*(INDEX(屬性克制表!$B$2:$T$20, MATCH(AE72, 屬性克制表!$A$2:$A$20, 0), MATCH($L$1, 屬性克制表!$B$1:$T$1, 0)) * INDEX(屬性克制表!$B$2:$T$20, MATCH(AE72, 屬性克制表!$A$2:$A$20, 0), MATCH($M$1, 屬性克制表!$B$1:$T$1, 0)))</f>
        <v>80080</v>
      </c>
      <c r="AJ72">
        <f>_xlfn.XLOOKUP(AD72, 數據!B$2:B$50, 數據!M$2:M$50)</f>
        <v>143</v>
      </c>
    </row>
    <row r="73" spans="1:44">
      <c r="J73" s="48" t="str">
        <v>巴大蝶</v>
      </c>
      <c r="K73" s="48" t="str">
        <v>蟲</v>
      </c>
      <c r="L73" s="48" t="str">
        <v>Y</v>
      </c>
      <c r="M73" s="48">
        <v>143</v>
      </c>
      <c r="N73" s="48" t="str">
        <v>D</v>
      </c>
      <c r="O73" s="79">
        <v>60060</v>
      </c>
      <c r="P73" s="91">
        <f t="shared" si="12"/>
        <v>0.27516933497536944</v>
      </c>
      <c r="Q73" s="71"/>
      <c r="R73" s="71"/>
      <c r="S73" s="71"/>
      <c r="T73" s="71"/>
      <c r="U73" s="71"/>
      <c r="V73" s="71"/>
      <c r="W73" s="71"/>
      <c r="X73" s="71"/>
      <c r="AD73" s="7" t="s">
        <v>20</v>
      </c>
      <c r="AE73" s="3" t="s">
        <v>36</v>
      </c>
      <c r="AF73" s="3" t="s">
        <v>134</v>
      </c>
      <c r="AG73" s="3">
        <f t="shared" si="11"/>
        <v>185</v>
      </c>
      <c r="AH73" s="7" t="s">
        <v>6</v>
      </c>
      <c r="AI73" s="71">
        <f>AG73*IF(AH73="G", 450, IF(AH73="D", 350, 0)) * IF(AF73="Y", 1.2, 1)*(INDEX(屬性克制表!$B$2:$T$20, MATCH(AE73, 屬性克制表!$A$2:$A$20, 0), MATCH($L$1, 屬性克制表!$B$1:$T$1, 0)) * INDEX(屬性克制表!$B$2:$T$20, MATCH(AE73, 屬性克制表!$A$2:$A$20, 0), MATCH($M$1, 屬性克制表!$B$1:$T$1, 0)))</f>
        <v>48562.5</v>
      </c>
      <c r="AJ73">
        <f>_xlfn.XLOOKUP(AD73, 數據!B$2:B$50, 數據!M$2:M$50)</f>
        <v>185</v>
      </c>
    </row>
    <row r="74" spans="1:44">
      <c r="J74" s="48" t="str">
        <v>鋼鎧鴉</v>
      </c>
      <c r="K74" s="48" t="str">
        <v>鋼</v>
      </c>
      <c r="L74" s="48" t="str">
        <v>Y</v>
      </c>
      <c r="M74" s="48">
        <v>140</v>
      </c>
      <c r="N74" s="48" t="str">
        <v>D</v>
      </c>
      <c r="O74" s="79">
        <v>58800</v>
      </c>
      <c r="P74" s="91">
        <f t="shared" si="12"/>
        <v>0.2693965517241379</v>
      </c>
      <c r="Q74" s="71"/>
      <c r="R74" s="71"/>
      <c r="S74" s="71"/>
      <c r="T74" s="71"/>
      <c r="U74" s="71"/>
      <c r="V74" s="71"/>
      <c r="W74" s="71"/>
      <c r="X74" s="71"/>
      <c r="AD74" s="7" t="s">
        <v>25</v>
      </c>
      <c r="AE74" s="3" t="s">
        <v>36</v>
      </c>
      <c r="AF74" s="3" t="s">
        <v>134</v>
      </c>
      <c r="AG74" s="3">
        <f t="shared" si="11"/>
        <v>145</v>
      </c>
      <c r="AH74" s="7" t="s">
        <v>5</v>
      </c>
      <c r="AI74" s="71">
        <f>AG74*IF(AH74="G", 450, IF(AH74="D", 350, 0)) * IF(AF74="Y", 1.2, 1)*(INDEX(屬性克制表!$B$2:$T$20, MATCH(AE74, 屬性克制表!$A$2:$A$20, 0), MATCH($L$1, 屬性克制表!$B$1:$T$1, 0)) * INDEX(屬性克制表!$B$2:$T$20, MATCH(AE74, 屬性克制表!$A$2:$A$20, 0), MATCH($M$1, 屬性克制表!$B$1:$T$1, 0)))</f>
        <v>48937.5</v>
      </c>
      <c r="AJ74">
        <f>_xlfn.XLOOKUP(AD74, 數據!B$2:B$50, 數據!M$2:M$50)</f>
        <v>145</v>
      </c>
    </row>
    <row r="75" spans="1:44">
      <c r="J75" s="48" t="str">
        <v>洛奇亞</v>
      </c>
      <c r="K75" s="48" t="str">
        <v>龍</v>
      </c>
      <c r="L75" s="48" t="str">
        <v>N</v>
      </c>
      <c r="M75" s="48">
        <v>164</v>
      </c>
      <c r="N75" s="48" t="str">
        <v>D</v>
      </c>
      <c r="O75" s="79">
        <v>57400</v>
      </c>
      <c r="P75" s="91">
        <f t="shared" si="12"/>
        <v>0.26298234811165844</v>
      </c>
      <c r="Q75" s="71"/>
      <c r="R75" s="71"/>
      <c r="S75" s="71"/>
      <c r="T75" s="71"/>
      <c r="U75" s="71"/>
      <c r="V75" s="71"/>
      <c r="W75" s="71"/>
      <c r="X75" s="71"/>
      <c r="AD75" s="4" t="s">
        <v>61</v>
      </c>
      <c r="AE75" s="4" t="s">
        <v>73</v>
      </c>
      <c r="AF75" s="4" t="s">
        <v>135</v>
      </c>
      <c r="AG75" s="3">
        <f t="shared" si="11"/>
        <v>140</v>
      </c>
      <c r="AH75" s="4" t="s">
        <v>6</v>
      </c>
      <c r="AI75" s="71">
        <f>AG75*IF(AH75="G", 450, IF(AH75="D", 350, 0)) * IF(AF75="Y", 1.2, 1)*(INDEX(屬性克制表!$B$2:$T$20, MATCH(AE75, 屬性克制表!$A$2:$A$20, 0), MATCH($L$1, 屬性克制表!$B$1:$T$1, 0)) * INDEX(屬性克制表!$B$2:$T$20, MATCH(AE75, 屬性克制表!$A$2:$A$20, 0), MATCH($M$1, 屬性克制表!$B$1:$T$1, 0)))</f>
        <v>30625</v>
      </c>
      <c r="AJ75">
        <f>_xlfn.XLOOKUP(AD75, 數據!B$2:B$50, 數據!M$2:M$50)</f>
        <v>140</v>
      </c>
    </row>
    <row r="76" spans="1:44">
      <c r="J76" s="48" t="str">
        <v>龍頭地鼠</v>
      </c>
      <c r="K76" s="48" t="str">
        <v>地面</v>
      </c>
      <c r="L76" s="48" t="str">
        <v>Y</v>
      </c>
      <c r="M76" s="48">
        <v>217</v>
      </c>
      <c r="N76" s="48" t="str">
        <v>D</v>
      </c>
      <c r="O76" s="79">
        <v>56962.5</v>
      </c>
      <c r="P76" s="91">
        <f t="shared" si="12"/>
        <v>0.26097790948275856</v>
      </c>
      <c r="Q76" s="71"/>
      <c r="R76" s="71"/>
      <c r="S76" s="71"/>
      <c r="T76" s="71"/>
      <c r="U76" s="71"/>
      <c r="V76" s="71"/>
      <c r="W76" s="71"/>
      <c r="X76" s="71"/>
      <c r="AD76" s="4" t="s">
        <v>67</v>
      </c>
      <c r="AE76" s="4" t="s">
        <v>73</v>
      </c>
      <c r="AF76" s="4" t="s">
        <v>135</v>
      </c>
      <c r="AG76" s="3">
        <f t="shared" si="11"/>
        <v>138</v>
      </c>
      <c r="AH76" s="4" t="s">
        <v>6</v>
      </c>
      <c r="AI76" s="71">
        <f>AG76*IF(AH76="G", 450, IF(AH76="D", 350, 0)) * IF(AF76="Y", 1.2, 1)*(INDEX(屬性克制表!$B$2:$T$20, MATCH(AE76, 屬性克制表!$A$2:$A$20, 0), MATCH($L$1, 屬性克制表!$B$1:$T$1, 0)) * INDEX(屬性克制表!$B$2:$T$20, MATCH(AE76, 屬性克制表!$A$2:$A$20, 0), MATCH($M$1, 屬性克制表!$B$1:$T$1, 0)))</f>
        <v>30187.5</v>
      </c>
      <c r="AJ76">
        <f>_xlfn.XLOOKUP(AD76, 數據!B$2:B$50, 數據!M$2:M$50)</f>
        <v>138</v>
      </c>
    </row>
    <row r="77" spans="1:44">
      <c r="J77" s="48" t="str">
        <v>武道熊師(一)</v>
      </c>
      <c r="K77" s="48" t="str">
        <v>惡</v>
      </c>
      <c r="L77" s="48" t="str">
        <v>Y</v>
      </c>
      <c r="M77" s="48">
        <v>210</v>
      </c>
      <c r="N77" s="48" t="str">
        <v>D</v>
      </c>
      <c r="O77" s="79">
        <v>55125</v>
      </c>
      <c r="P77" s="91">
        <f t="shared" si="12"/>
        <v>0.25255926724137928</v>
      </c>
      <c r="Q77" s="71"/>
      <c r="R77" s="71"/>
      <c r="S77" s="71"/>
      <c r="T77" s="71"/>
      <c r="U77" s="71"/>
      <c r="V77" s="71"/>
      <c r="W77" s="71"/>
      <c r="X77" s="71"/>
      <c r="AD77" s="3" t="s">
        <v>67</v>
      </c>
      <c r="AE77" s="4" t="s">
        <v>37</v>
      </c>
      <c r="AF77" s="4" t="s">
        <v>135</v>
      </c>
      <c r="AG77" s="3">
        <f t="shared" si="11"/>
        <v>138</v>
      </c>
      <c r="AH77" s="3" t="s">
        <v>6</v>
      </c>
      <c r="AI77" s="71">
        <f>AG77*IF(AH77="G", 450, IF(AH77="D", 350, 0)) * IF(AF77="Y", 1.2, 1)*(INDEX(屬性克制表!$B$2:$T$20, MATCH(AE77, 屬性克制表!$A$2:$A$20, 0), MATCH($L$1, 屬性克制表!$B$1:$T$1, 0)) * INDEX(屬性克制表!$B$2:$T$20, MATCH(AE77, 屬性克制表!$A$2:$A$20, 0), MATCH($M$1, 屬性克制表!$B$1:$T$1, 0)))</f>
        <v>30187.5</v>
      </c>
      <c r="AJ77">
        <f>_xlfn.XLOOKUP(AD77, 數據!B$2:B$50, 數據!M$2:M$50)</f>
        <v>138</v>
      </c>
    </row>
    <row r="78" spans="1:44">
      <c r="J78" s="48" t="str">
        <v>武道熊師(連)</v>
      </c>
      <c r="K78" s="48" t="str">
        <v>水</v>
      </c>
      <c r="L78" s="48" t="str">
        <v>Y</v>
      </c>
      <c r="M78" s="48">
        <v>210</v>
      </c>
      <c r="N78" s="48" t="str">
        <v>D</v>
      </c>
      <c r="O78" s="79">
        <v>55125</v>
      </c>
      <c r="P78" s="91">
        <f t="shared" si="12"/>
        <v>0.25255926724137928</v>
      </c>
      <c r="Q78" s="71"/>
      <c r="R78" s="71"/>
      <c r="S78" s="71"/>
      <c r="T78" s="71"/>
      <c r="U78" s="71"/>
      <c r="V78" s="71"/>
      <c r="W78" s="71"/>
      <c r="X78" s="71"/>
      <c r="AD78" s="7" t="s">
        <v>26</v>
      </c>
      <c r="AE78" s="3" t="s">
        <v>36</v>
      </c>
      <c r="AF78" s="3" t="s">
        <v>134</v>
      </c>
      <c r="AG78" s="3">
        <f t="shared" si="11"/>
        <v>177</v>
      </c>
      <c r="AH78" s="7" t="s">
        <v>6</v>
      </c>
      <c r="AI78" s="71">
        <f>AG78*IF(AH78="G", 450, IF(AH78="D", 350, 0)) * IF(AF78="Y", 1.2, 1)*(INDEX(屬性克制表!$B$2:$T$20, MATCH(AE78, 屬性克制表!$A$2:$A$20, 0), MATCH($L$1, 屬性克制表!$B$1:$T$1, 0)) * INDEX(屬性克制表!$B$2:$T$20, MATCH(AE78, 屬性克制表!$A$2:$A$20, 0), MATCH($M$1, 屬性克制表!$B$1:$T$1, 0)))</f>
        <v>46462.5</v>
      </c>
      <c r="AJ78">
        <f>_xlfn.XLOOKUP(AD78, 數據!B$2:B$50, 數據!M$2:M$50)</f>
        <v>177</v>
      </c>
    </row>
    <row r="79" spans="1:44">
      <c r="J79" s="48" t="str">
        <v>妙蛙花</v>
      </c>
      <c r="K79" s="48" t="str">
        <v>草</v>
      </c>
      <c r="L79" s="48" t="str">
        <v>Y</v>
      </c>
      <c r="M79" s="48">
        <v>159</v>
      </c>
      <c r="N79" s="48" t="str">
        <v>G</v>
      </c>
      <c r="O79" s="79">
        <v>53662.5</v>
      </c>
      <c r="P79" s="91">
        <f t="shared" si="12"/>
        <v>0.24585871525334269</v>
      </c>
      <c r="Q79" s="71"/>
      <c r="R79" s="71"/>
      <c r="S79" s="71"/>
      <c r="T79" s="71"/>
      <c r="U79" s="71"/>
      <c r="V79" s="71"/>
      <c r="W79" s="71"/>
      <c r="X79" s="71"/>
      <c r="AD79" s="7" t="s">
        <v>23</v>
      </c>
      <c r="AE79" s="3" t="s">
        <v>36</v>
      </c>
      <c r="AF79" s="3" t="s">
        <v>134</v>
      </c>
      <c r="AG79" s="3">
        <f t="shared" si="11"/>
        <v>147</v>
      </c>
      <c r="AH79" s="7" t="s">
        <v>6</v>
      </c>
      <c r="AI79" s="71">
        <f>AG79*IF(AH79="G", 450, IF(AH79="D", 350, 0)) * IF(AF79="Y", 1.2, 1)*(INDEX(屬性克制表!$B$2:$T$20, MATCH(AE79, 屬性克制表!$A$2:$A$20, 0), MATCH($L$1, 屬性克制表!$B$1:$T$1, 0)) * INDEX(屬性克制表!$B$2:$T$20, MATCH(AE79, 屬性克制表!$A$2:$A$20, 0), MATCH($M$1, 屬性克制表!$B$1:$T$1, 0)))</f>
        <v>38587.5</v>
      </c>
      <c r="AJ79">
        <f>_xlfn.XLOOKUP(AD79, 數據!B$2:B$50, 數據!M$2:M$50)</f>
        <v>147</v>
      </c>
    </row>
    <row r="80" spans="1:44">
      <c r="J80" s="48" t="str">
        <v>灰塵山</v>
      </c>
      <c r="K80" s="48" t="str">
        <v>蟲</v>
      </c>
      <c r="L80" s="48" t="str">
        <v>N</v>
      </c>
      <c r="M80" s="48">
        <v>153</v>
      </c>
      <c r="N80" s="48" t="str">
        <v>D</v>
      </c>
      <c r="O80" s="79">
        <v>53550</v>
      </c>
      <c r="P80" s="91">
        <f t="shared" si="12"/>
        <v>0.24534328817733986</v>
      </c>
      <c r="Q80" s="71"/>
      <c r="R80" s="71"/>
      <c r="S80" s="71"/>
      <c r="T80" s="71"/>
      <c r="U80" s="71"/>
      <c r="V80" s="71"/>
      <c r="W80" s="71"/>
      <c r="X80" s="71"/>
      <c r="AD80" s="7" t="s">
        <v>24</v>
      </c>
      <c r="AE80" s="3" t="s">
        <v>36</v>
      </c>
      <c r="AF80" s="3" t="s">
        <v>134</v>
      </c>
      <c r="AG80" s="3">
        <f t="shared" si="11"/>
        <v>147</v>
      </c>
      <c r="AH80" s="7" t="s">
        <v>6</v>
      </c>
      <c r="AI80" s="71">
        <f>AG80*IF(AH80="G", 450, IF(AH80="D", 350, 0)) * IF(AF80="Y", 1.2, 1)*(INDEX(屬性克制表!$B$2:$T$20, MATCH(AE80, 屬性克制表!$A$2:$A$20, 0), MATCH($L$1, 屬性克制表!$B$1:$T$1, 0)) * INDEX(屬性克制表!$B$2:$T$20, MATCH(AE80, 屬性克制表!$A$2:$A$20, 0), MATCH($M$1, 屬性克制表!$B$1:$T$1, 0)))</f>
        <v>38587.5</v>
      </c>
      <c r="AJ80">
        <f>_xlfn.XLOOKUP(AD80, 數據!B$2:B$50, 數據!M$2:M$50)</f>
        <v>147</v>
      </c>
    </row>
    <row r="81" spans="10:36">
      <c r="J81" s="48" t="str">
        <v>閃電鳥</v>
      </c>
      <c r="K81" s="48" t="str">
        <v>電</v>
      </c>
      <c r="L81" s="48" t="str">
        <v>Y</v>
      </c>
      <c r="M81" s="48">
        <v>203</v>
      </c>
      <c r="N81" s="48" t="str">
        <v>D</v>
      </c>
      <c r="O81" s="79">
        <v>53287.5</v>
      </c>
      <c r="P81" s="91">
        <f t="shared" si="12"/>
        <v>0.24414062499999997</v>
      </c>
      <c r="Q81" s="71"/>
      <c r="R81" s="71"/>
      <c r="S81" s="71"/>
      <c r="T81" s="71"/>
      <c r="U81" s="71"/>
      <c r="V81" s="71"/>
      <c r="W81" s="71"/>
      <c r="X81" s="71"/>
      <c r="AD81" s="3" t="s">
        <v>63</v>
      </c>
      <c r="AE81" s="4" t="s">
        <v>97</v>
      </c>
      <c r="AF81" s="4" t="s">
        <v>135</v>
      </c>
      <c r="AG81" s="3">
        <f t="shared" si="11"/>
        <v>113</v>
      </c>
      <c r="AH81" s="3" t="s">
        <v>6</v>
      </c>
      <c r="AI81" s="71">
        <f>AG81*IF(AH81="G", 450, IF(AH81="D", 350, 0)) * IF(AF81="Y", 1.2, 1)*(INDEX(屬性克制表!$B$2:$T$20, MATCH(AE81, 屬性克制表!$A$2:$A$20, 0), MATCH($L$1, 屬性克制表!$B$1:$T$1, 0)) * INDEX(屬性克制表!$B$2:$T$20, MATCH(AE81, 屬性克制表!$A$2:$A$20, 0), MATCH($M$1, 屬性克制表!$B$1:$T$1, 0)))</f>
        <v>63280</v>
      </c>
      <c r="AJ81">
        <f>_xlfn.XLOOKUP(AD81, 數據!B$2:B$50, 數據!M$2:M$50)</f>
        <v>113</v>
      </c>
    </row>
    <row r="82" spans="10:36">
      <c r="J82" s="48" t="str">
        <v>轟擂金剛猩</v>
      </c>
      <c r="K82" s="48" t="str">
        <v>草</v>
      </c>
      <c r="L82" s="48" t="str">
        <v>Y</v>
      </c>
      <c r="M82" s="48">
        <v>200</v>
      </c>
      <c r="N82" s="48" t="str">
        <v>D</v>
      </c>
      <c r="O82" s="79">
        <v>52500</v>
      </c>
      <c r="P82" s="91">
        <f t="shared" si="12"/>
        <v>0.24053263546798026</v>
      </c>
      <c r="Q82" s="71"/>
      <c r="R82" s="71"/>
      <c r="S82" s="71"/>
      <c r="T82" s="71"/>
      <c r="U82" s="71"/>
      <c r="V82" s="71"/>
      <c r="W82" s="71"/>
      <c r="X82" s="71"/>
      <c r="AD82" s="7" t="s">
        <v>25</v>
      </c>
      <c r="AE82" s="3" t="s">
        <v>36</v>
      </c>
      <c r="AF82" s="3" t="s">
        <v>134</v>
      </c>
      <c r="AG82" s="3">
        <f t="shared" si="11"/>
        <v>145</v>
      </c>
      <c r="AH82" s="7" t="s">
        <v>6</v>
      </c>
      <c r="AI82" s="71">
        <f>AG82*IF(AH82="G", 450, IF(AH82="D", 350, 0)) * IF(AF82="Y", 1.2, 1)*(INDEX(屬性克制表!$B$2:$T$20, MATCH(AE82, 屬性克制表!$A$2:$A$20, 0), MATCH($L$1, 屬性克制表!$B$1:$T$1, 0)) * INDEX(屬性克制表!$B$2:$T$20, MATCH(AE82, 屬性克制表!$A$2:$A$20, 0), MATCH($M$1, 屬性克制表!$B$1:$T$1, 0)))</f>
        <v>38062.5</v>
      </c>
      <c r="AJ82">
        <f>_xlfn.XLOOKUP(AD82, 數據!B$2:B$50, 數據!M$2:M$50)</f>
        <v>145</v>
      </c>
    </row>
    <row r="83" spans="10:36">
      <c r="J83" s="48" t="str">
        <v>雷伊布</v>
      </c>
      <c r="K83" s="48" t="str">
        <v>電</v>
      </c>
      <c r="L83" s="48" t="str">
        <v>Y</v>
      </c>
      <c r="M83" s="48">
        <v>195</v>
      </c>
      <c r="N83" s="48" t="str">
        <v>D</v>
      </c>
      <c r="O83" s="79">
        <v>51187.5</v>
      </c>
      <c r="P83" s="91">
        <f t="shared" si="12"/>
        <v>0.23451931958128075</v>
      </c>
      <c r="Q83" s="71"/>
      <c r="R83" s="71"/>
      <c r="S83" s="71"/>
      <c r="T83" s="71"/>
      <c r="U83" s="71"/>
      <c r="V83" s="71"/>
      <c r="W83" s="71"/>
      <c r="X83" s="71"/>
      <c r="AD83" s="3" t="s">
        <v>55</v>
      </c>
      <c r="AE83" s="4" t="s">
        <v>76</v>
      </c>
      <c r="AF83" s="4" t="s">
        <v>134</v>
      </c>
      <c r="AG83" s="3">
        <f t="shared" si="11"/>
        <v>155</v>
      </c>
      <c r="AH83" s="3" t="s">
        <v>6</v>
      </c>
      <c r="AI83" s="71">
        <f>AG83*IF(AH83="G", 450, IF(AH83="D", 350, 0)) * IF(AF83="Y", 1.2, 1)*(INDEX(屬性克制表!$B$2:$T$20, MATCH(AE83, 屬性克制表!$A$2:$A$20, 0), MATCH($L$1, 屬性克制表!$B$1:$T$1, 0)) * INDEX(屬性克制表!$B$2:$T$20, MATCH(AE83, 屬性克制表!$A$2:$A$20, 0), MATCH($M$1, 屬性克制表!$B$1:$T$1, 0)))</f>
        <v>104160</v>
      </c>
      <c r="AJ83">
        <f>_xlfn.XLOOKUP(AD83, 數據!B$2:B$50, 數據!M$2:M$50)</f>
        <v>155</v>
      </c>
    </row>
    <row r="84" spans="10:36">
      <c r="J84" s="48" t="str">
        <v>雷公</v>
      </c>
      <c r="K84" s="48" t="str">
        <v>電</v>
      </c>
      <c r="L84" s="48" t="str">
        <v>Y</v>
      </c>
      <c r="M84" s="48">
        <v>194</v>
      </c>
      <c r="N84" s="48" t="str">
        <v>D</v>
      </c>
      <c r="O84" s="79">
        <v>50925</v>
      </c>
      <c r="P84" s="91">
        <f t="shared" si="12"/>
        <v>0.23331665640394084</v>
      </c>
      <c r="Q84" s="71"/>
      <c r="R84" s="71"/>
      <c r="S84" s="71"/>
      <c r="T84" s="71"/>
      <c r="U84" s="71"/>
      <c r="V84" s="71"/>
      <c r="W84" s="71"/>
      <c r="X84" s="71"/>
      <c r="AD84" s="3" t="s">
        <v>60</v>
      </c>
      <c r="AE84" s="4" t="s">
        <v>76</v>
      </c>
      <c r="AF84" s="4" t="s">
        <v>134</v>
      </c>
      <c r="AG84" s="3">
        <f t="shared" si="11"/>
        <v>153</v>
      </c>
      <c r="AH84" s="3" t="s">
        <v>6</v>
      </c>
      <c r="AI84" s="71">
        <f>AG84*IF(AH84="G", 450, IF(AH84="D", 350, 0)) * IF(AF84="Y", 1.2, 1)*(INDEX(屬性克制表!$B$2:$T$20, MATCH(AE84, 屬性克制表!$A$2:$A$20, 0), MATCH($L$1, 屬性克制表!$B$1:$T$1, 0)) * INDEX(屬性克制表!$B$2:$T$20, MATCH(AE84, 屬性克制表!$A$2:$A$20, 0), MATCH($M$1, 屬性克制表!$B$1:$T$1, 0)))</f>
        <v>102816</v>
      </c>
      <c r="AJ84">
        <f>_xlfn.XLOOKUP(AD84, 數據!B$2:B$50, 數據!M$2:M$50)</f>
        <v>153</v>
      </c>
    </row>
    <row r="85" spans="10:36">
      <c r="J85" s="48" t="str">
        <v>勾魂眼</v>
      </c>
      <c r="K85" s="48" t="str">
        <v>幽靈</v>
      </c>
      <c r="L85" s="48" t="str">
        <v>Y</v>
      </c>
      <c r="M85" s="48">
        <v>121</v>
      </c>
      <c r="N85" s="48" t="str">
        <v>D</v>
      </c>
      <c r="O85" s="79">
        <v>50820</v>
      </c>
      <c r="P85" s="91">
        <f t="shared" si="12"/>
        <v>0.23283559113300489</v>
      </c>
      <c r="Q85" s="71"/>
      <c r="R85" s="71"/>
      <c r="S85" s="71"/>
      <c r="T85" s="71"/>
      <c r="U85" s="71"/>
      <c r="V85" s="71"/>
      <c r="W85" s="71"/>
      <c r="X85" s="71"/>
      <c r="AD85" s="3" t="s">
        <v>49</v>
      </c>
      <c r="AE85" s="4" t="s">
        <v>39</v>
      </c>
      <c r="AF85" s="4" t="s">
        <v>134</v>
      </c>
      <c r="AG85" s="3">
        <f t="shared" si="11"/>
        <v>17</v>
      </c>
      <c r="AH85" s="3" t="s">
        <v>6</v>
      </c>
      <c r="AI85" s="71">
        <f>AG85*IF(AH85="G", 450, IF(AH85="D", 350, 0)) * IF(AF85="Y", 1.2, 1)*(INDEX(屬性克制表!$B$2:$T$20, MATCH(AE85, 屬性克制表!$A$2:$A$20, 0), MATCH($L$1, 屬性克制表!$B$1:$T$1, 0)) * INDEX(屬性克制表!$B$2:$T$20, MATCH(AE85, 屬性克制表!$A$2:$A$20, 0), MATCH($M$1, 屬性克制表!$B$1:$T$1, 0)))</f>
        <v>4462.5</v>
      </c>
      <c r="AJ85">
        <f>_xlfn.XLOOKUP(AD85, 數據!B$2:B$50, 數據!M$2:M$50)</f>
        <v>17</v>
      </c>
    </row>
    <row r="86" spans="10:36">
      <c r="J86" s="48" t="str">
        <v>超級巨伊布</v>
      </c>
      <c r="K86" s="48" t="str">
        <v>一般</v>
      </c>
      <c r="L86" s="48" t="str">
        <v>Y</v>
      </c>
      <c r="M86" s="48">
        <v>94</v>
      </c>
      <c r="N86" s="48" t="str">
        <v>G</v>
      </c>
      <c r="O86" s="79">
        <v>50760</v>
      </c>
      <c r="P86" s="91">
        <f t="shared" si="12"/>
        <v>0.23256069669247006</v>
      </c>
      <c r="Q86" s="71"/>
      <c r="R86" s="71"/>
      <c r="S86" s="71"/>
      <c r="T86" s="71"/>
      <c r="U86" s="71"/>
      <c r="V86" s="71"/>
      <c r="W86" s="71"/>
      <c r="X86" s="71"/>
      <c r="AD86" s="3" t="s">
        <v>49</v>
      </c>
      <c r="AE86" s="4" t="s">
        <v>46</v>
      </c>
      <c r="AF86" s="4" t="s">
        <v>134</v>
      </c>
      <c r="AG86" s="3">
        <f t="shared" si="11"/>
        <v>17</v>
      </c>
      <c r="AH86" s="3" t="s">
        <v>6</v>
      </c>
      <c r="AI86" s="71">
        <f>AG86*IF(AH86="G", 450, IF(AH86="D", 350, 0)) * IF(AF86="Y", 1.2, 1)*(INDEX(屬性克制表!$B$2:$T$20, MATCH(AE86, 屬性克制表!$A$2:$A$20, 0), MATCH($L$1, 屬性克制表!$B$1:$T$1, 0)) * INDEX(屬性克制表!$B$2:$T$20, MATCH(AE86, 屬性克制表!$A$2:$A$20, 0), MATCH($M$1, 屬性克制表!$B$1:$T$1, 0)))</f>
        <v>7140</v>
      </c>
      <c r="AJ86">
        <f>_xlfn.XLOOKUP(AD86, 數據!B$2:B$50, 數據!M$2:M$50)</f>
        <v>17</v>
      </c>
    </row>
    <row r="87" spans="10:36">
      <c r="J87" s="48" t="str">
        <v>戰弦蠑螈</v>
      </c>
      <c r="K87" s="48" t="str">
        <v>電</v>
      </c>
      <c r="L87" s="48" t="str">
        <v>Y</v>
      </c>
      <c r="M87" s="48">
        <v>188</v>
      </c>
      <c r="N87" s="48" t="str">
        <v>D</v>
      </c>
      <c r="O87" s="79">
        <v>49350</v>
      </c>
      <c r="P87" s="91">
        <f t="shared" si="12"/>
        <v>0.22610067733990144</v>
      </c>
      <c r="Q87" s="71"/>
      <c r="R87" s="71"/>
      <c r="S87" s="71"/>
      <c r="T87" s="71"/>
      <c r="U87" s="71"/>
      <c r="V87"/>
      <c r="Y87" s="3"/>
      <c r="Z87" s="3"/>
      <c r="AA87" s="3"/>
      <c r="AB87" s="3"/>
      <c r="AC87" s="3"/>
      <c r="AD87" s="3" t="s">
        <v>144</v>
      </c>
      <c r="AE87" s="3" t="s">
        <v>47</v>
      </c>
      <c r="AF87" s="4" t="s">
        <v>134</v>
      </c>
      <c r="AG87" s="3">
        <f t="shared" si="11"/>
        <v>225</v>
      </c>
      <c r="AH87" s="3" t="s">
        <v>6</v>
      </c>
      <c r="AI87" s="71">
        <f>AG87*IF(AH87="G", 450, IF(AH87="D", 350, 0)) * IF(AF87="Y", 1.2, 1)*(INDEX(屬性克制表!$B$2:$T$20, MATCH(AE87, 屬性克制表!$A$2:$A$20, 0), MATCH($L$1, 屬性克制表!$B$1:$T$1, 0)) * INDEX(屬性克制表!$B$2:$T$20, MATCH(AE87, 屬性克制表!$A$2:$A$20, 0), MATCH($M$1, 屬性克制表!$B$1:$T$1, 0)))</f>
        <v>151200</v>
      </c>
      <c r="AJ87">
        <f>_xlfn.XLOOKUP(AD87, 數據!B$2:B$50, 數據!M$2:M$50)</f>
        <v>225</v>
      </c>
    </row>
    <row r="88" spans="10:36">
      <c r="J88" s="48" t="str">
        <v>甜冷美后</v>
      </c>
      <c r="K88" s="48" t="str">
        <v>草</v>
      </c>
      <c r="L88" s="48" t="str">
        <v>Y</v>
      </c>
      <c r="M88" s="48">
        <v>187</v>
      </c>
      <c r="N88" s="48" t="str">
        <v>D</v>
      </c>
      <c r="O88" s="79">
        <v>49087.5</v>
      </c>
      <c r="P88" s="91">
        <f t="shared" si="12"/>
        <v>0.22489801416256153</v>
      </c>
      <c r="Q88" s="71"/>
      <c r="R88" s="71"/>
      <c r="S88" s="71"/>
      <c r="T88" s="71"/>
      <c r="U88" s="71"/>
      <c r="V88" s="71"/>
      <c r="W88" s="71"/>
      <c r="X88" s="71"/>
      <c r="AD88" s="3" t="s">
        <v>144</v>
      </c>
      <c r="AE88" s="3" t="s">
        <v>70</v>
      </c>
      <c r="AF88" s="4" t="s">
        <v>135</v>
      </c>
      <c r="AG88" s="3">
        <f t="shared" si="11"/>
        <v>225</v>
      </c>
      <c r="AH88" s="3" t="s">
        <v>6</v>
      </c>
      <c r="AI88" s="71">
        <f>AG88*IF(AH88="G", 450, IF(AH88="D", 350, 0)) * IF(AF88="Y", 1.2, 1)*(INDEX(屬性克制表!$B$2:$T$20, MATCH(AE88, 屬性克制表!$A$2:$A$20, 0), MATCH($L$1, 屬性克制表!$B$1:$T$1, 0)) * INDEX(屬性克制表!$B$2:$T$20, MATCH(AE88, 屬性克制表!$A$2:$A$20, 0), MATCH($M$1, 屬性克制表!$B$1:$T$1, 0)))</f>
        <v>78750</v>
      </c>
      <c r="AJ88">
        <f>_xlfn.XLOOKUP(AD88, 數據!B$2:B$50, 數據!M$2:M$50)</f>
        <v>225</v>
      </c>
    </row>
    <row r="89" spans="10:36">
      <c r="J89" s="48" t="str">
        <v>水箭龜</v>
      </c>
      <c r="K89" s="48" t="str">
        <v>水</v>
      </c>
      <c r="L89" s="48" t="str">
        <v>Y</v>
      </c>
      <c r="M89" s="48">
        <v>145</v>
      </c>
      <c r="N89" s="48" t="str">
        <v>G</v>
      </c>
      <c r="O89" s="79">
        <v>48937.5</v>
      </c>
      <c r="P89" s="91">
        <f t="shared" si="12"/>
        <v>0.22421077806122444</v>
      </c>
      <c r="Q89" s="71"/>
      <c r="R89" s="71"/>
      <c r="S89" s="71"/>
      <c r="T89" s="71"/>
      <c r="U89" s="71"/>
      <c r="V89" s="71"/>
      <c r="W89" s="71"/>
      <c r="X89" s="71"/>
      <c r="AD89" s="3" t="s">
        <v>86</v>
      </c>
      <c r="AE89" s="3" t="s">
        <v>76</v>
      </c>
      <c r="AF89" s="4" t="s">
        <v>134</v>
      </c>
      <c r="AG89" s="3">
        <f t="shared" si="11"/>
        <v>141</v>
      </c>
      <c r="AH89" s="3" t="s">
        <v>5</v>
      </c>
      <c r="AI89" s="71">
        <f>AG89*IF(AH89="G", 450, IF(AH89="D", 350, 0)) * IF(AF89="Y", 1.2, 1)*(INDEX(屬性克制表!$B$2:$T$20, MATCH(AE89, 屬性克制表!$A$2:$A$20, 0), MATCH($L$1, 屬性克制表!$B$1:$T$1, 0)) * INDEX(屬性克制表!$B$2:$T$20, MATCH(AE89, 屬性克制表!$A$2:$A$20, 0), MATCH($M$1, 屬性克制表!$B$1:$T$1, 0)))</f>
        <v>121824</v>
      </c>
      <c r="AJ89">
        <f>_xlfn.XLOOKUP(AD89, 數據!B$2:B$50, 數據!M$2:M$50)</f>
        <v>141</v>
      </c>
    </row>
    <row r="90" spans="10:36">
      <c r="J90" s="48" t="str">
        <v>耿鬼</v>
      </c>
      <c r="K90" s="48" t="str">
        <v>惡</v>
      </c>
      <c r="L90" s="48" t="str">
        <v>N</v>
      </c>
      <c r="M90" s="48">
        <v>223</v>
      </c>
      <c r="N90" s="48" t="str">
        <v>D</v>
      </c>
      <c r="O90" s="79">
        <v>48781.25</v>
      </c>
      <c r="P90" s="91">
        <f t="shared" si="12"/>
        <v>0.22349490712233167</v>
      </c>
      <c r="Q90" s="71"/>
      <c r="R90" s="71"/>
      <c r="S90" s="71"/>
      <c r="T90" s="71"/>
      <c r="U90" s="71"/>
      <c r="V90" s="71"/>
      <c r="W90" s="71"/>
      <c r="X90" s="71"/>
      <c r="AD90" s="3" t="s">
        <v>160</v>
      </c>
      <c r="AE90" s="3" t="s">
        <v>161</v>
      </c>
      <c r="AF90" s="4" t="s">
        <v>134</v>
      </c>
      <c r="AG90" s="3">
        <f t="shared" si="11"/>
        <v>201</v>
      </c>
      <c r="AH90" s="3" t="s">
        <v>164</v>
      </c>
      <c r="AI90" s="71">
        <f>AG90*IF(AH90="G", 450, IF(AH90="D", 350, 0)) * IF(AF90="Y", 1.2, 1)*(INDEX(屬性克制表!$B$2:$T$20, MATCH(AE90, 屬性克制表!$A$2:$A$20, 0), MATCH($L$1, 屬性克制表!$B$1:$T$1, 0)) * INDEX(屬性克制表!$B$2:$T$20, MATCH(AE90, 屬性克制表!$A$2:$A$20, 0), MATCH($M$1, 屬性克制表!$B$1:$T$1, 0)))</f>
        <v>84420</v>
      </c>
      <c r="AJ90">
        <f>_xlfn.XLOOKUP(AD90, 數據!B$2:B$50, 數據!M$2:M$50)</f>
        <v>201</v>
      </c>
    </row>
    <row r="91" spans="10:36">
      <c r="J91" s="48" t="str">
        <v>鐮刀盔</v>
      </c>
      <c r="K91" s="48" t="str">
        <v>水</v>
      </c>
      <c r="L91" s="48" t="str">
        <v>Y</v>
      </c>
      <c r="M91" s="48">
        <v>185</v>
      </c>
      <c r="N91" s="48" t="str">
        <v>D</v>
      </c>
      <c r="O91" s="79">
        <v>48562.5</v>
      </c>
      <c r="P91" s="91">
        <f t="shared" si="12"/>
        <v>0.22249268780788173</v>
      </c>
      <c r="Q91" s="71"/>
      <c r="R91" s="71"/>
      <c r="S91" s="71"/>
      <c r="T91" s="71"/>
      <c r="U91" s="71"/>
      <c r="V91" s="71"/>
      <c r="W91" s="71"/>
      <c r="X91" s="71"/>
      <c r="AD91" s="3" t="s">
        <v>160</v>
      </c>
      <c r="AE91" s="3" t="s">
        <v>162</v>
      </c>
      <c r="AF91" s="4" t="s">
        <v>134</v>
      </c>
      <c r="AG91" s="3">
        <f t="shared" si="11"/>
        <v>201</v>
      </c>
      <c r="AH91" s="3" t="s">
        <v>164</v>
      </c>
      <c r="AI91" s="71">
        <f>AG91*IF(AH91="G", 450, IF(AH91="D", 350, 0)) * IF(AF91="Y", 1.2, 1)*(INDEX(屬性克制表!$B$2:$T$20, MATCH(AE91, 屬性克制表!$A$2:$A$20, 0), MATCH($L$1, 屬性克制表!$B$1:$T$1, 0)) * INDEX(屬性克制表!$B$2:$T$20, MATCH(AE91, 屬性克制表!$A$2:$A$20, 0), MATCH($M$1, 屬性克制表!$B$1:$T$1, 0)))</f>
        <v>84420</v>
      </c>
      <c r="AJ91">
        <f>_xlfn.XLOOKUP(AD91, 數據!B$2:B$50, 數據!M$2:M$50)</f>
        <v>201</v>
      </c>
    </row>
    <row r="92" spans="10:36">
      <c r="J92" s="48" t="str">
        <v>葉伊布</v>
      </c>
      <c r="K92" s="48" t="str">
        <v>草</v>
      </c>
      <c r="L92" s="48" t="str">
        <v>Y</v>
      </c>
      <c r="M92" s="48">
        <v>183</v>
      </c>
      <c r="N92" s="48" t="str">
        <v>D</v>
      </c>
      <c r="O92" s="79">
        <v>48037.5</v>
      </c>
      <c r="P92" s="91">
        <f t="shared" si="12"/>
        <v>0.22008736145320193</v>
      </c>
      <c r="Q92" s="71"/>
      <c r="R92" s="71"/>
      <c r="S92" s="71"/>
      <c r="Y92" s="3"/>
      <c r="Z92" s="3"/>
      <c r="AA92" s="3"/>
      <c r="AB92" s="3"/>
      <c r="AC92" s="3"/>
      <c r="AD92" s="3" t="s">
        <v>160</v>
      </c>
      <c r="AE92" s="3" t="s">
        <v>163</v>
      </c>
      <c r="AF92" s="4" t="s">
        <v>135</v>
      </c>
      <c r="AG92" s="3">
        <f t="shared" si="11"/>
        <v>201</v>
      </c>
      <c r="AH92" s="76" t="s">
        <v>164</v>
      </c>
      <c r="AI92" s="71">
        <f>AG92*IF(AH92="G", 450, IF(AH92="D", 350, 0)) * IF(AF92="Y", 1.2, 1)*(INDEX(屬性克制表!$B$2:$T$20, MATCH(AE92, 屬性克制表!$A$2:$A$20, 0), MATCH($L$1, 屬性克制表!$B$1:$T$1, 0)) * INDEX(屬性克制表!$B$2:$T$20, MATCH(AE92, 屬性克制表!$A$2:$A$20, 0), MATCH($M$1, 屬性克制表!$B$1:$T$1, 0)))</f>
        <v>70350</v>
      </c>
      <c r="AJ92">
        <f>_xlfn.XLOOKUP(AD92, 數據!B$2:B$50, 數據!M$2:M$50)</f>
        <v>201</v>
      </c>
    </row>
    <row r="93" spans="10:36">
      <c r="J93" s="48" t="str">
        <v>毛毛角羊</v>
      </c>
      <c r="K93" s="48" t="str">
        <v>格鬥</v>
      </c>
      <c r="L93" s="48" t="str">
        <v>N</v>
      </c>
      <c r="M93" s="48">
        <v>136</v>
      </c>
      <c r="N93" s="48" t="str">
        <v>D</v>
      </c>
      <c r="O93" s="79">
        <v>47600</v>
      </c>
      <c r="P93" s="91">
        <f t="shared" si="12"/>
        <v>0.21808292282430211</v>
      </c>
      <c r="Q93" s="71"/>
      <c r="R93" s="71"/>
      <c r="S93" s="71"/>
      <c r="T93" s="71"/>
      <c r="U93" s="71"/>
      <c r="V93" s="71"/>
      <c r="W93" s="71"/>
      <c r="X93" s="71"/>
      <c r="AD93" s="3" t="s">
        <v>166</v>
      </c>
      <c r="AE93" s="3" t="s">
        <v>167</v>
      </c>
      <c r="AF93" s="4" t="s">
        <v>168</v>
      </c>
      <c r="AG93" s="3">
        <f t="shared" si="11"/>
        <v>214</v>
      </c>
      <c r="AH93" s="3" t="s">
        <v>169</v>
      </c>
      <c r="AI93" s="71">
        <f>AG93*IF(AH93="G", 450, IF(AH93="D", 350, 0)) * IF(AF93="Y", 1.2, 1)*(INDEX(屬性克制表!$B$2:$T$20, MATCH(AE93, 屬性克制表!$A$2:$A$20, 0), MATCH($L$1, 屬性克制表!$B$1:$T$1, 0)) * INDEX(屬性克制表!$B$2:$T$20, MATCH(AE93, 屬性克制表!$A$2:$A$20, 0), MATCH($M$1, 屬性克制表!$B$1:$T$1, 0)))</f>
        <v>74900</v>
      </c>
      <c r="AJ93">
        <f>_xlfn.XLOOKUP(AD93, 數據!B$2:B$50, 數據!M$2:M$50)</f>
        <v>214</v>
      </c>
    </row>
    <row r="94" spans="10:36">
      <c r="J94" s="48" t="str">
        <v>多刺菊石獸</v>
      </c>
      <c r="K94" s="48" t="str">
        <v>岩石</v>
      </c>
      <c r="L94" s="48" t="str">
        <v>Y</v>
      </c>
      <c r="M94" s="48">
        <v>177</v>
      </c>
      <c r="N94" s="48" t="str">
        <v>D</v>
      </c>
      <c r="O94" s="79">
        <v>46462.5</v>
      </c>
      <c r="P94" s="91">
        <f t="shared" si="12"/>
        <v>0.21287138238916253</v>
      </c>
      <c r="Q94" s="71"/>
      <c r="R94" s="71"/>
      <c r="S94" s="71"/>
      <c r="T94" s="71"/>
      <c r="U94" s="71"/>
      <c r="V94" s="71"/>
      <c r="W94" s="71"/>
      <c r="X94" s="71"/>
      <c r="AD94" s="3" t="s">
        <v>171</v>
      </c>
      <c r="AE94" s="3" t="s">
        <v>99</v>
      </c>
      <c r="AF94" s="4" t="s">
        <v>134</v>
      </c>
      <c r="AG94" s="3">
        <f t="shared" si="11"/>
        <v>199</v>
      </c>
      <c r="AH94" s="3" t="s">
        <v>6</v>
      </c>
      <c r="AI94" s="71">
        <f>AG94*IF(AH94="G", 450, IF(AH94="D", 350, 0)) * IF(AF94="Y", 1.2, 1)*(INDEX(屬性克制表!$B$2:$T$20, MATCH(AE94, 屬性克制表!$A$2:$A$20, 0), MATCH($L$1, 屬性克制表!$B$1:$T$1, 0)) * INDEX(屬性克制表!$B$2:$T$20, MATCH(AE94, 屬性克制表!$A$2:$A$20, 0), MATCH($M$1, 屬性克制表!$B$1:$T$1, 0)))</f>
        <v>83580</v>
      </c>
      <c r="AJ94">
        <f>_xlfn.XLOOKUP(AD94, 數據!B$2:B$50, 數據!M$2:M$50)</f>
        <v>199</v>
      </c>
    </row>
    <row r="95" spans="10:36">
      <c r="J95" s="48" t="str">
        <v>多刺菊石獸</v>
      </c>
      <c r="K95" s="48" t="str">
        <v>水</v>
      </c>
      <c r="L95" s="48" t="str">
        <v>Y</v>
      </c>
      <c r="M95" s="48">
        <v>177</v>
      </c>
      <c r="N95" s="48" t="str">
        <v>D</v>
      </c>
      <c r="O95" s="79">
        <v>46462.5</v>
      </c>
      <c r="P95" s="91">
        <f t="shared" si="12"/>
        <v>0.21287138238916253</v>
      </c>
      <c r="Q95" s="71"/>
      <c r="R95" s="71"/>
      <c r="S95" s="71"/>
      <c r="T95" s="71"/>
      <c r="U95" s="71"/>
      <c r="V95" s="71"/>
      <c r="W95" s="71"/>
      <c r="X95" s="71"/>
      <c r="AD95" s="3" t="s">
        <v>171</v>
      </c>
      <c r="AE95" s="3" t="s">
        <v>47</v>
      </c>
      <c r="AF95" s="4" t="s">
        <v>134</v>
      </c>
      <c r="AG95" s="3">
        <f t="shared" si="11"/>
        <v>199</v>
      </c>
      <c r="AH95" s="3" t="s">
        <v>6</v>
      </c>
      <c r="AI95" s="71">
        <f>AG95*IF(AH95="G", 450, IF(AH95="D", 350, 0)) * IF(AF95="Y", 1.2, 1)*(INDEX(屬性克制表!$B$2:$T$20, MATCH(AE95, 屬性克制表!$A$2:$A$20, 0), MATCH($L$1, 屬性克制表!$B$1:$T$1, 0)) * INDEX(屬性克制表!$B$2:$T$20, MATCH(AE95, 屬性克制表!$A$2:$A$20, 0), MATCH($M$1, 屬性克制表!$B$1:$T$1, 0)))</f>
        <v>133728</v>
      </c>
      <c r="AJ95">
        <f>_xlfn.XLOOKUP(AD95, 數據!B$2:B$50, 數據!M$2:M$50)</f>
        <v>199</v>
      </c>
    </row>
    <row r="96" spans="10:36">
      <c r="J96" s="48" t="str">
        <v>水伊布</v>
      </c>
      <c r="K96" s="48" t="str">
        <v>水</v>
      </c>
      <c r="L96" s="48" t="str">
        <v>Y</v>
      </c>
      <c r="M96" s="48">
        <v>174</v>
      </c>
      <c r="N96" s="48" t="str">
        <v>D</v>
      </c>
      <c r="O96" s="79">
        <v>45675</v>
      </c>
      <c r="P96" s="91">
        <f t="shared" si="12"/>
        <v>0.20926339285714282</v>
      </c>
      <c r="Q96" s="71"/>
      <c r="R96" s="71"/>
      <c r="S96" s="71"/>
      <c r="T96" s="71"/>
      <c r="U96" s="71"/>
      <c r="V96" s="71"/>
      <c r="W96" s="71"/>
      <c r="X96" s="71"/>
      <c r="AD96" s="3" t="s">
        <v>171</v>
      </c>
      <c r="AE96" s="3" t="s">
        <v>35</v>
      </c>
      <c r="AF96" s="4" t="s">
        <v>135</v>
      </c>
      <c r="AG96" s="3">
        <f t="shared" si="11"/>
        <v>199</v>
      </c>
      <c r="AH96" s="3" t="s">
        <v>6</v>
      </c>
      <c r="AI96" s="71">
        <f>AG96*IF(AH96="G", 450, IF(AH96="D", 350, 0)) * IF(AF96="Y", 1.2, 1)*(INDEX(屬性克制表!$B$2:$T$20, MATCH(AE96, 屬性克制表!$A$2:$A$20, 0), MATCH($L$1, 屬性克制表!$B$1:$T$1, 0)) * INDEX(屬性克制表!$B$2:$T$20, MATCH(AE96, 屬性克制表!$A$2:$A$20, 0), MATCH($M$1, 屬性克制表!$B$1:$T$1, 0)))</f>
        <v>43531.25</v>
      </c>
      <c r="AJ96">
        <f>_xlfn.XLOOKUP(AD96, 數據!B$2:B$50, 數據!M$2:M$50)</f>
        <v>199</v>
      </c>
    </row>
    <row r="97" spans="10:36">
      <c r="J97" s="48" t="str">
        <v>沙奈朵</v>
      </c>
      <c r="K97" s="48" t="str">
        <v>草</v>
      </c>
      <c r="L97" s="48" t="str">
        <v>N</v>
      </c>
      <c r="M97" s="48">
        <v>199</v>
      </c>
      <c r="N97" s="48" t="str">
        <v>D</v>
      </c>
      <c r="O97" s="79">
        <v>43531.25</v>
      </c>
      <c r="P97" s="91">
        <f t="shared" si="12"/>
        <v>0.19944164357553362</v>
      </c>
      <c r="Q97" s="71"/>
      <c r="R97" s="71"/>
      <c r="S97" s="71"/>
      <c r="T97" s="71"/>
      <c r="U97" s="71"/>
      <c r="V97" s="71"/>
      <c r="W97" s="71"/>
      <c r="X97" s="71"/>
      <c r="AD97" s="3" t="s">
        <v>171</v>
      </c>
      <c r="AE97" s="3" t="s">
        <v>77</v>
      </c>
      <c r="AF97" s="4" t="s">
        <v>135</v>
      </c>
      <c r="AG97" s="3">
        <f t="shared" si="11"/>
        <v>199</v>
      </c>
      <c r="AH97" s="3" t="s">
        <v>6</v>
      </c>
      <c r="AI97" s="71">
        <f>AG97*IF(AH97="G", 450, IF(AH97="D", 350, 0)) * IF(AF97="Y", 1.2, 1)*(INDEX(屬性克制表!$B$2:$T$20, MATCH(AE97, 屬性克制表!$A$2:$A$20, 0), MATCH($L$1, 屬性克制表!$B$1:$T$1, 0)) * INDEX(屬性克制表!$B$2:$T$20, MATCH(AE97, 屬性克制表!$A$2:$A$20, 0), MATCH($M$1, 屬性克制表!$B$1:$T$1, 0)))</f>
        <v>43531.25</v>
      </c>
      <c r="AJ97">
        <f>_xlfn.XLOOKUP(AD97, 數據!B$2:B$50, 數據!M$2:M$50)</f>
        <v>199</v>
      </c>
    </row>
    <row r="98" spans="10:36">
      <c r="J98" s="48" t="str">
        <v>沙奈朵</v>
      </c>
      <c r="K98" s="48" t="str">
        <v>電</v>
      </c>
      <c r="L98" s="48" t="str">
        <v>N</v>
      </c>
      <c r="M98" s="48">
        <v>199</v>
      </c>
      <c r="N98" s="48" t="str">
        <v>D</v>
      </c>
      <c r="O98" s="79">
        <v>43531.25</v>
      </c>
      <c r="P98" s="91">
        <f t="shared" si="12"/>
        <v>0.19944164357553362</v>
      </c>
      <c r="Q98" s="71"/>
      <c r="R98" s="71"/>
      <c r="S98" s="71"/>
      <c r="T98" s="71"/>
      <c r="U98" s="71"/>
      <c r="V98" s="71"/>
      <c r="W98" s="71"/>
      <c r="X98" s="71"/>
      <c r="AD98" s="3" t="s">
        <v>170</v>
      </c>
      <c r="AE98" s="3" t="s">
        <v>35</v>
      </c>
      <c r="AF98" s="4" t="s">
        <v>134</v>
      </c>
      <c r="AG98" s="3">
        <f t="shared" si="11"/>
        <v>187</v>
      </c>
      <c r="AH98" s="3" t="s">
        <v>6</v>
      </c>
      <c r="AI98" s="71">
        <f>AG98*IF(AH98="G", 450, IF(AH98="D", 350, 0)) * IF(AF98="Y", 1.2, 1)*(INDEX(屬性克制表!$B$2:$T$20, MATCH(AE98, 屬性克制表!$A$2:$A$20, 0), MATCH($L$1, 屬性克制表!$B$1:$T$1, 0)) * INDEX(屬性克制表!$B$2:$T$20, MATCH(AE98, 屬性克制表!$A$2:$A$20, 0), MATCH($M$1, 屬性克制表!$B$1:$T$1, 0)))</f>
        <v>49087.5</v>
      </c>
      <c r="AJ98">
        <f>_xlfn.XLOOKUP(AD98, 數據!B$2:B$50, 數據!M$2:M$50)</f>
        <v>187</v>
      </c>
    </row>
    <row r="99" spans="10:36">
      <c r="J99" s="48" t="str">
        <v>巨鉗蟹</v>
      </c>
      <c r="K99" s="48" t="str">
        <v>地面</v>
      </c>
      <c r="L99" s="48" t="str">
        <v>N</v>
      </c>
      <c r="M99" s="48">
        <v>198</v>
      </c>
      <c r="N99" s="48" t="str">
        <v>D</v>
      </c>
      <c r="O99" s="79">
        <v>43312.5</v>
      </c>
      <c r="P99" s="91">
        <f t="shared" si="12"/>
        <v>0.19843942426108371</v>
      </c>
      <c r="Q99" s="71"/>
      <c r="R99" s="71"/>
      <c r="S99" s="71"/>
      <c r="T99" s="71"/>
      <c r="U99" s="71"/>
      <c r="V99" s="71"/>
      <c r="W99" s="71"/>
      <c r="X99" s="71"/>
      <c r="AD99" s="3" t="s">
        <v>170</v>
      </c>
      <c r="AE99" s="3" t="s">
        <v>99</v>
      </c>
      <c r="AF99" s="4" t="s">
        <v>135</v>
      </c>
      <c r="AG99" s="3">
        <f t="shared" si="11"/>
        <v>187</v>
      </c>
      <c r="AH99" s="3" t="s">
        <v>6</v>
      </c>
      <c r="AI99" s="71">
        <f>AG99*IF(AH99="G", 450, IF(AH99="D", 350, 0)) * IF(AF99="Y", 1.2, 1)*(INDEX(屬性克制表!$B$2:$T$20, MATCH(AE99, 屬性克制表!$A$2:$A$20, 0), MATCH($L$1, 屬性克制表!$B$1:$T$1, 0)) * INDEX(屬性克制表!$B$2:$T$20, MATCH(AE99, 屬性克制表!$A$2:$A$20, 0), MATCH($M$1, 屬性克制表!$B$1:$T$1, 0)))</f>
        <v>65450</v>
      </c>
      <c r="AJ99">
        <f>_xlfn.XLOOKUP(AD99, 數據!B$2:B$50, 數據!M$2:M$50)</f>
        <v>187</v>
      </c>
    </row>
    <row r="100" spans="10:36">
      <c r="J100" s="48" t="str">
        <v>妙蛙花</v>
      </c>
      <c r="K100" s="48" t="str">
        <v>草</v>
      </c>
      <c r="L100" s="48" t="str">
        <v>Y</v>
      </c>
      <c r="M100" s="48">
        <v>159</v>
      </c>
      <c r="N100" s="48" t="str">
        <v>D</v>
      </c>
      <c r="O100" s="79">
        <v>41737.5</v>
      </c>
      <c r="P100" s="91">
        <f t="shared" si="12"/>
        <v>0.19122344519704432</v>
      </c>
      <c r="Q100" s="75"/>
      <c r="R100" s="75"/>
      <c r="S100" s="75"/>
      <c r="T100" s="75"/>
      <c r="U100" s="75"/>
      <c r="V100" s="75"/>
      <c r="W100" s="75"/>
      <c r="X100" s="75"/>
      <c r="AD100" s="3" t="s">
        <v>173</v>
      </c>
      <c r="AE100" s="3" t="s">
        <v>175</v>
      </c>
      <c r="AF100" s="4" t="s">
        <v>134</v>
      </c>
      <c r="AG100" s="3">
        <f t="shared" si="11"/>
        <v>94</v>
      </c>
      <c r="AH100" s="3" t="s">
        <v>5</v>
      </c>
      <c r="AI100" s="71">
        <f>AG100*IF(AH100="G", 450, IF(AH100="D", 350, 0)) * IF(AF100="Y", 1.2, 1)*(INDEX(屬性克制表!$B$2:$T$20, MATCH(AE100, 屬性克制表!$A$2:$A$20, 0), MATCH($L$1, 屬性克制表!$B$1:$T$1, 0)) * INDEX(屬性克制表!$B$2:$T$20, MATCH(AE100, 屬性克制表!$A$2:$A$20, 0), MATCH($M$1, 屬性克制表!$B$1:$T$1, 0)))</f>
        <v>50760</v>
      </c>
      <c r="AJ100">
        <f>_xlfn.XLOOKUP(AD100, 數據!B$2:B$50, 數據!M$2:M$50)</f>
        <v>94</v>
      </c>
    </row>
    <row r="101" spans="10:36">
      <c r="J101" s="48" t="str">
        <v>鐮刀盔</v>
      </c>
      <c r="K101" s="48" t="str">
        <v>地面</v>
      </c>
      <c r="L101" s="48" t="str">
        <v>N</v>
      </c>
      <c r="M101" s="48">
        <v>185</v>
      </c>
      <c r="N101" s="48" t="str">
        <v>D</v>
      </c>
      <c r="O101" s="79">
        <v>40468.75</v>
      </c>
      <c r="P101" s="91">
        <f t="shared" si="12"/>
        <v>0.18541057317323478</v>
      </c>
      <c r="AD101" s="3" t="s">
        <v>176</v>
      </c>
      <c r="AE101" s="3" t="s">
        <v>178</v>
      </c>
      <c r="AF101" s="4" t="s">
        <v>134</v>
      </c>
      <c r="AG101" s="3">
        <f t="shared" si="11"/>
        <v>174</v>
      </c>
      <c r="AH101" s="3" t="s">
        <v>6</v>
      </c>
      <c r="AI101" s="71">
        <f>AG101*IF(AH101="G", 450, IF(AH101="D", 350, 0)) * IF(AF101="Y", 1.2, 1)*(INDEX(屬性克制表!$B$2:$T$20, MATCH(AE101, 屬性克制表!$A$2:$A$20, 0), MATCH($L$1, 屬性克制表!$B$1:$T$1, 0)) * INDEX(屬性克制表!$B$2:$T$20, MATCH(AE101, 屬性克制表!$A$2:$A$20, 0), MATCH($M$1, 屬性克制表!$B$1:$T$1, 0)))</f>
        <v>45675</v>
      </c>
      <c r="AJ101">
        <f>_xlfn.XLOOKUP(AD101, 數據!B$2:B$60, 數據!M$2:M$60)</f>
        <v>174</v>
      </c>
    </row>
    <row r="102" spans="10:36">
      <c r="J102" s="48" t="str">
        <v>多刺菊石獸</v>
      </c>
      <c r="K102" s="48" t="str">
        <v>地面</v>
      </c>
      <c r="L102" s="48" t="str">
        <v>N</v>
      </c>
      <c r="M102" s="48">
        <v>177</v>
      </c>
      <c r="N102" s="48" t="str">
        <v>D</v>
      </c>
      <c r="O102" s="79">
        <v>38718.75</v>
      </c>
      <c r="P102" s="91">
        <f t="shared" si="12"/>
        <v>0.17739281865763543</v>
      </c>
      <c r="AD102" s="3" t="s">
        <v>179</v>
      </c>
      <c r="AE102" s="3" t="s">
        <v>183</v>
      </c>
      <c r="AF102" s="4" t="s">
        <v>134</v>
      </c>
      <c r="AG102" s="3">
        <f t="shared" si="11"/>
        <v>195</v>
      </c>
      <c r="AH102" s="3" t="s">
        <v>6</v>
      </c>
      <c r="AI102" s="71">
        <f>AG102*IF(AH102="G", 450, IF(AH102="D", 350, 0)) * IF(AF102="Y", 1.2, 1)*(INDEX(屬性克制表!$B$2:$T$20, MATCH(AE102, 屬性克制表!$A$2:$A$20, 0), MATCH($L$1, 屬性克制表!$B$1:$T$1, 0)) * INDEX(屬性克制表!$B$2:$T$20, MATCH(AE102, 屬性克制表!$A$2:$A$20, 0), MATCH($M$1, 屬性克制表!$B$1:$T$1, 0)))</f>
        <v>51187.5</v>
      </c>
      <c r="AJ102">
        <f>_xlfn.XLOOKUP(AD102, 數據!B$2:B$60, 數據!M$2:M$60)</f>
        <v>195</v>
      </c>
    </row>
    <row r="103" spans="10:36">
      <c r="J103" s="48" t="str">
        <v>水君</v>
      </c>
      <c r="K103" s="48" t="str">
        <v>水</v>
      </c>
      <c r="L103" s="48" t="str">
        <v>Y</v>
      </c>
      <c r="M103" s="48">
        <v>147</v>
      </c>
      <c r="N103" s="48" t="str">
        <v>D</v>
      </c>
      <c r="O103" s="79">
        <v>38587.5</v>
      </c>
      <c r="P103" s="91">
        <f t="shared" si="12"/>
        <v>0.1767914870689655</v>
      </c>
      <c r="AD103" s="3" t="s">
        <v>181</v>
      </c>
      <c r="AE103" s="3" t="s">
        <v>100</v>
      </c>
      <c r="AF103" s="4" t="s">
        <v>134</v>
      </c>
      <c r="AG103" s="3">
        <f t="shared" si="11"/>
        <v>206</v>
      </c>
      <c r="AH103" s="3" t="s">
        <v>6</v>
      </c>
      <c r="AI103" s="71">
        <f>AG103*IF(AH103="G", 450, IF(AH103="D", 350, 0)) * IF(AF103="Y", 1.2, 1)*(INDEX(屬性克制表!$B$2:$T$20, MATCH(AE103, 屬性克制表!$A$2:$A$20, 0), MATCH($L$1, 屬性克制表!$B$1:$T$1, 0)) * INDEX(屬性克制表!$B$2:$T$20, MATCH(AE103, 屬性克制表!$A$2:$A$20, 0), MATCH($M$1, 屬性克制表!$B$1:$T$1, 0)))</f>
        <v>138432</v>
      </c>
      <c r="AJ103">
        <f>_xlfn.XLOOKUP(AD103, 數據!B$2:B$60, 數據!M$2:M$60)</f>
        <v>206</v>
      </c>
    </row>
    <row r="104" spans="10:36">
      <c r="J104" s="48" t="str">
        <v>吼鯨王</v>
      </c>
      <c r="K104" s="48" t="str">
        <v>水</v>
      </c>
      <c r="L104" s="48" t="str">
        <v>Y</v>
      </c>
      <c r="M104" s="48">
        <v>147</v>
      </c>
      <c r="N104" s="48" t="str">
        <v>D</v>
      </c>
      <c r="O104" s="79">
        <v>38587.5</v>
      </c>
      <c r="P104" s="91">
        <f t="shared" si="12"/>
        <v>0.1767914870689655</v>
      </c>
      <c r="AD104" s="3" t="s">
        <v>184</v>
      </c>
      <c r="AE104" s="3" t="s">
        <v>97</v>
      </c>
      <c r="AF104" s="4" t="s">
        <v>134</v>
      </c>
      <c r="AG104" s="3">
        <f t="shared" si="11"/>
        <v>218</v>
      </c>
      <c r="AH104" s="3" t="s">
        <v>6</v>
      </c>
      <c r="AI104" s="71">
        <f>AG104*IF(AH104="G", 450, IF(AH104="D", 350, 0)) * IF(AF104="Y", 1.2, 1)*(INDEX(屬性克制表!$B$2:$T$20, MATCH(AE104, 屬性克制表!$A$2:$A$20, 0), MATCH($L$1, 屬性克制表!$B$1:$T$1, 0)) * INDEX(屬性克制表!$B$2:$T$20, MATCH(AE104, 屬性克制表!$A$2:$A$20, 0), MATCH($M$1, 屬性克制表!$B$1:$T$1, 0)))</f>
        <v>146496</v>
      </c>
      <c r="AJ104">
        <f>_xlfn.XLOOKUP(AD104, 數據!B$2:B$60, 數據!M$2:M$60)</f>
        <v>218</v>
      </c>
    </row>
    <row r="105" spans="10:36">
      <c r="J105" s="48" t="str">
        <v>水箭龜</v>
      </c>
      <c r="K105" s="48" t="str">
        <v>水</v>
      </c>
      <c r="L105" s="48" t="str">
        <v>Y</v>
      </c>
      <c r="M105" s="48">
        <v>145</v>
      </c>
      <c r="N105" s="48" t="str">
        <v>D</v>
      </c>
      <c r="O105" s="79">
        <v>38062.5</v>
      </c>
      <c r="P105" s="91">
        <f t="shared" si="12"/>
        <v>0.1743861607142857</v>
      </c>
      <c r="AD105" s="3" t="s">
        <v>185</v>
      </c>
      <c r="AE105" s="3" t="s">
        <v>165</v>
      </c>
      <c r="AF105" s="4" t="s">
        <v>134</v>
      </c>
      <c r="AG105" s="3">
        <f t="shared" si="11"/>
        <v>111</v>
      </c>
      <c r="AH105" s="3" t="s">
        <v>6</v>
      </c>
      <c r="AI105" s="71">
        <f>AG105*IF(AH105="G", 450, IF(AH105="D", 350, 0)) * IF(AF105="Y", 1.2, 1)*(INDEX(屬性克制表!$B$2:$T$20, MATCH(AE105, 屬性克制表!$A$2:$A$20, 0), MATCH($L$1, 屬性克制表!$B$1:$T$1, 0)) * INDEX(屬性克制表!$B$2:$T$20, MATCH(AE105, 屬性克制表!$A$2:$A$20, 0), MATCH($M$1, 屬性克制表!$B$1:$T$1, 0)))</f>
        <v>29137.5</v>
      </c>
      <c r="AJ105">
        <f>_xlfn.XLOOKUP(AD105, 數據!B$2:B$60, 數據!M$2:M$60)</f>
        <v>111</v>
      </c>
    </row>
    <row r="106" spans="10:36">
      <c r="J106" s="48" t="str">
        <v>吼鯨王</v>
      </c>
      <c r="K106" s="48" t="str">
        <v>岩石</v>
      </c>
      <c r="L106" s="48" t="str">
        <v>N</v>
      </c>
      <c r="M106" s="48">
        <v>147</v>
      </c>
      <c r="N106" s="48" t="str">
        <v>D</v>
      </c>
      <c r="O106" s="79">
        <v>32156.25</v>
      </c>
      <c r="P106" s="91">
        <f t="shared" si="12"/>
        <v>0.1473262392241379</v>
      </c>
      <c r="AD106" s="3" t="s">
        <v>188</v>
      </c>
      <c r="AE106" s="3" t="s">
        <v>172</v>
      </c>
      <c r="AF106" s="4" t="s">
        <v>134</v>
      </c>
      <c r="AG106" s="3">
        <f t="shared" si="11"/>
        <v>183</v>
      </c>
      <c r="AH106" s="3" t="s">
        <v>6</v>
      </c>
      <c r="AI106" s="71">
        <f>AG106*IF(AH106="G", 450, IF(AH106="D", 350, 0)) * IF(AF106="Y", 1.2, 1)*(INDEX(屬性克制表!$B$2:$T$20, MATCH(AE106, 屬性克制表!$A$2:$A$20, 0), MATCH($L$1, 屬性克制表!$B$1:$T$1, 0)) * INDEX(屬性克制表!$B$2:$T$20, MATCH(AE106, 屬性克制表!$A$2:$A$20, 0), MATCH($M$1, 屬性克制表!$B$1:$T$1, 0)))</f>
        <v>48037.5</v>
      </c>
      <c r="AJ106">
        <f>_xlfn.XLOOKUP(AD106, 數據!B$2:B$60, 數據!M$2:M$60)</f>
        <v>183</v>
      </c>
    </row>
    <row r="107" spans="10:36">
      <c r="J107" s="48" t="str">
        <v>勾魂眼</v>
      </c>
      <c r="K107" s="48" t="str">
        <v>惡</v>
      </c>
      <c r="L107" s="48" t="str">
        <v>Y</v>
      </c>
      <c r="M107" s="48">
        <v>121</v>
      </c>
      <c r="N107" s="48" t="str">
        <v>D</v>
      </c>
      <c r="O107" s="79">
        <v>31762.5</v>
      </c>
      <c r="P107" s="91">
        <f t="shared" si="12"/>
        <v>0.14552224445812806</v>
      </c>
      <c r="AD107" s="3" t="s">
        <v>190</v>
      </c>
      <c r="AE107" s="3" t="s">
        <v>98</v>
      </c>
      <c r="AF107" s="4" t="s">
        <v>134</v>
      </c>
      <c r="AG107" s="3">
        <f t="shared" si="11"/>
        <v>200</v>
      </c>
      <c r="AH107" s="3" t="s">
        <v>6</v>
      </c>
      <c r="AI107" s="71">
        <f>AG107*IF(AH107="G", 450, IF(AH107="D", 350, 0)) * IF(AF107="Y", 1.2, 1)*(INDEX(屬性克制表!$B$2:$T$20, MATCH(AE107, 屬性克制表!$A$2:$A$20, 0), MATCH($L$1, 屬性克制表!$B$1:$T$1, 0)) * INDEX(屬性克制表!$B$2:$T$20, MATCH(AE107, 屬性克制表!$A$2:$A$20, 0), MATCH($M$1, 屬性克制表!$B$1:$T$1, 0)))</f>
        <v>134400</v>
      </c>
      <c r="AJ107">
        <f>_xlfn.XLOOKUP(AD107, 數據!B$2:B$60, 數據!M$2:M$60)</f>
        <v>200</v>
      </c>
    </row>
    <row r="108" spans="10:36">
      <c r="J108" s="48" t="str">
        <v>水箭龜</v>
      </c>
      <c r="K108" s="48" t="str">
        <v>岩石</v>
      </c>
      <c r="L108" s="48" t="str">
        <v>N</v>
      </c>
      <c r="M108" s="48">
        <v>145</v>
      </c>
      <c r="N108" s="48" t="str">
        <v>D</v>
      </c>
      <c r="O108" s="79">
        <v>31718.75</v>
      </c>
      <c r="P108" s="91">
        <f t="shared" si="12"/>
        <v>0.14532180059523808</v>
      </c>
      <c r="AD108" s="3" t="s">
        <v>192</v>
      </c>
      <c r="AE108" s="3" t="s">
        <v>83</v>
      </c>
      <c r="AF108" s="4" t="s">
        <v>134</v>
      </c>
      <c r="AG108" s="3">
        <f t="shared" si="11"/>
        <v>172</v>
      </c>
      <c r="AH108" s="3" t="s">
        <v>6</v>
      </c>
      <c r="AI108" s="71">
        <f>AG108*IF(AH108="G", 450, IF(AH108="D", 350, 0)) * IF(AF108="Y", 1.2, 1)*(INDEX(屬性克制表!$B$2:$T$20, MATCH(AE108, 屬性克制表!$A$2:$A$20, 0), MATCH($L$1, 屬性克制表!$B$1:$T$1, 0)) * INDEX(屬性克制表!$B$2:$T$20, MATCH(AE108, 屬性克制表!$A$2:$A$20, 0), MATCH($M$1, 屬性克制表!$B$1:$T$1, 0)))</f>
        <v>72240</v>
      </c>
      <c r="AJ108">
        <f>_xlfn.XLOOKUP(AD108, 數據!B$2:B$60, 數據!M$2:M$60)</f>
        <v>172</v>
      </c>
    </row>
    <row r="109" spans="10:36">
      <c r="J109" s="48" t="str">
        <v>水箭龜</v>
      </c>
      <c r="K109" s="48" t="str">
        <v>惡</v>
      </c>
      <c r="L109" s="48" t="str">
        <v>N</v>
      </c>
      <c r="M109" s="48">
        <v>145</v>
      </c>
      <c r="N109" s="48" t="str">
        <v>D</v>
      </c>
      <c r="O109" s="79">
        <v>31718.75</v>
      </c>
      <c r="P109" s="91">
        <f t="shared" si="12"/>
        <v>0.14532180059523808</v>
      </c>
      <c r="AD109" s="3" t="s">
        <v>194</v>
      </c>
      <c r="AE109" s="3" t="s">
        <v>70</v>
      </c>
      <c r="AF109" s="4" t="s">
        <v>134</v>
      </c>
      <c r="AG109" s="3">
        <f t="shared" si="11"/>
        <v>199</v>
      </c>
      <c r="AH109" s="3" t="s">
        <v>6</v>
      </c>
      <c r="AI109" s="71">
        <f>AG109*IF(AH109="G", 450, IF(AH109="D", 350, 0)) * IF(AF109="Y", 1.2, 1)*(INDEX(屬性克制表!$B$2:$T$20, MATCH(AE109, 屬性克制表!$A$2:$A$20, 0), MATCH($L$1, 屬性克制表!$B$1:$T$1, 0)) * INDEX(屬性克制表!$B$2:$T$20, MATCH(AE109, 屬性克制表!$A$2:$A$20, 0), MATCH($M$1, 屬性克制表!$B$1:$T$1, 0)))</f>
        <v>83580</v>
      </c>
      <c r="AJ109">
        <f>_xlfn.XLOOKUP(AD109, 數據!B$2:B$60, 數據!M$2:M$60)</f>
        <v>199</v>
      </c>
    </row>
    <row r="110" spans="10:36">
      <c r="J110" s="48" t="str">
        <v>鋼鎧鴉</v>
      </c>
      <c r="K110" s="48" t="str">
        <v>地面</v>
      </c>
      <c r="L110" s="48" t="str">
        <v>N</v>
      </c>
      <c r="M110" s="48">
        <v>140</v>
      </c>
      <c r="N110" s="48" t="str">
        <v>D</v>
      </c>
      <c r="O110" s="79">
        <v>30625</v>
      </c>
      <c r="P110" s="91">
        <f t="shared" si="12"/>
        <v>0.14031070402298848</v>
      </c>
      <c r="AD110" s="3" t="s">
        <v>194</v>
      </c>
      <c r="AE110" s="3" t="s">
        <v>97</v>
      </c>
      <c r="AF110" s="4" t="s">
        <v>134</v>
      </c>
      <c r="AG110" s="3">
        <f t="shared" si="11"/>
        <v>199</v>
      </c>
      <c r="AH110" s="3" t="s">
        <v>6</v>
      </c>
      <c r="AI110" s="71">
        <f>AG110*IF(AH110="G", 450, IF(AH110="D", 350, 0)) * IF(AF110="Y", 1.2, 1)*(INDEX(屬性克制表!$B$2:$T$20, MATCH(AE110, 屬性克制表!$A$2:$A$20, 0), MATCH($L$1, 屬性克制表!$B$1:$T$1, 0)) * INDEX(屬性克制表!$B$2:$T$20, MATCH(AE110, 屬性克制表!$A$2:$A$20, 0), MATCH($M$1, 屬性克制表!$B$1:$T$1, 0)))</f>
        <v>133728</v>
      </c>
      <c r="AJ110">
        <f>_xlfn.XLOOKUP(AD110, 數據!B$2:B$60, 數據!M$2:M$60)</f>
        <v>199</v>
      </c>
    </row>
    <row r="111" spans="10:36">
      <c r="J111" s="48" t="str">
        <v>藏飽栗鼠</v>
      </c>
      <c r="K111" s="48" t="str">
        <v>草</v>
      </c>
      <c r="L111" s="48" t="str">
        <v>N</v>
      </c>
      <c r="M111" s="48">
        <v>138</v>
      </c>
      <c r="N111" s="48" t="str">
        <v>D</v>
      </c>
      <c r="O111" s="79">
        <v>30187.5</v>
      </c>
      <c r="P111" s="91">
        <f t="shared" si="12"/>
        <v>0.13830626539408863</v>
      </c>
      <c r="AD111" s="3" t="s">
        <v>194</v>
      </c>
      <c r="AE111" s="3" t="s">
        <v>83</v>
      </c>
      <c r="AF111" s="4" t="s">
        <v>135</v>
      </c>
      <c r="AG111" s="3">
        <f t="shared" si="11"/>
        <v>199</v>
      </c>
      <c r="AH111" s="3" t="s">
        <v>6</v>
      </c>
      <c r="AI111" s="71">
        <f>AG111*IF(AH111="G", 450, IF(AH111="D", 350, 0)) * IF(AF111="Y", 1.2, 1)*(INDEX(屬性克制表!$B$2:$T$20, MATCH(AE111, 屬性克制表!$A$2:$A$20, 0), MATCH($L$1, 屬性克制表!$B$1:$T$1, 0)) * INDEX(屬性克制表!$B$2:$T$20, MATCH(AE111, 屬性克制表!$A$2:$A$20, 0), MATCH($M$1, 屬性克制表!$B$1:$T$1, 0)))</f>
        <v>69650</v>
      </c>
      <c r="AJ111">
        <f>_xlfn.XLOOKUP(AD111, 數據!B$2:B$60, 數據!M$2:M$60)</f>
        <v>199</v>
      </c>
    </row>
    <row r="112" spans="10:36">
      <c r="J112" s="48" t="str">
        <v>藏飽栗鼠</v>
      </c>
      <c r="K112" s="48" t="str">
        <v>地面</v>
      </c>
      <c r="L112" s="48" t="str">
        <v>N</v>
      </c>
      <c r="M112" s="48">
        <v>138</v>
      </c>
      <c r="N112" s="48" t="str">
        <v>D</v>
      </c>
      <c r="O112" s="79">
        <v>30187.5</v>
      </c>
      <c r="P112" s="91">
        <f t="shared" si="12"/>
        <v>0.13830626539408863</v>
      </c>
      <c r="AD112" s="3" t="s">
        <v>196</v>
      </c>
      <c r="AE112" s="3" t="s">
        <v>97</v>
      </c>
      <c r="AF112" s="4" t="s">
        <v>134</v>
      </c>
      <c r="AG112" s="3">
        <f t="shared" si="11"/>
        <v>151</v>
      </c>
      <c r="AH112" s="3" t="s">
        <v>6</v>
      </c>
      <c r="AI112" s="71">
        <f>AG112*IF(AH112="G", 450, IF(AH112="D", 350, 0)) * IF(AF112="Y", 1.2, 1)*(INDEX(屬性克制表!$B$2:$T$20, MATCH(AE112, 屬性克制表!$A$2:$A$20, 0), MATCH($L$1, 屬性克制表!$B$1:$T$1, 0)) * INDEX(屬性克制表!$B$2:$T$20, MATCH(AE112, 屬性克制表!$A$2:$A$20, 0), MATCH($M$1, 屬性克制表!$B$1:$T$1, 0)))</f>
        <v>101472</v>
      </c>
      <c r="AJ112">
        <f>_xlfn.XLOOKUP(AD112, 數據!B$2:B$60, 數據!M$2:M$60)</f>
        <v>151</v>
      </c>
    </row>
    <row r="113" spans="10:36">
      <c r="J113" s="48" t="str">
        <v>藏飽栗鼠</v>
      </c>
      <c r="K113" s="48" t="str">
        <v>惡</v>
      </c>
      <c r="L113" s="48" t="str">
        <v>N</v>
      </c>
      <c r="M113" s="48">
        <v>138</v>
      </c>
      <c r="N113" s="48" t="str">
        <v>D</v>
      </c>
      <c r="O113" s="79">
        <v>30187.5</v>
      </c>
      <c r="P113" s="91">
        <f t="shared" si="12"/>
        <v>0.13830626539408863</v>
      </c>
      <c r="AD113" s="3" t="s">
        <v>196</v>
      </c>
      <c r="AE113" s="3" t="s">
        <v>43</v>
      </c>
      <c r="AF113" s="4" t="s">
        <v>135</v>
      </c>
      <c r="AG113" s="3">
        <f t="shared" si="11"/>
        <v>151</v>
      </c>
      <c r="AH113" s="3" t="s">
        <v>6</v>
      </c>
      <c r="AI113" s="71">
        <f>AG113*IF(AH113="G", 450, IF(AH113="D", 350, 0)) * IF(AF113="Y", 1.2, 1)*(INDEX(屬性克制表!$B$2:$T$20, MATCH(AE113, 屬性克制表!$A$2:$A$20, 0), MATCH($L$1, 屬性克制表!$B$1:$T$1, 0)) * INDEX(屬性克制表!$B$2:$T$20, MATCH(AE113, 屬性克制表!$A$2:$A$20, 0), MATCH($M$1, 屬性克制表!$B$1:$T$1, 0)))</f>
        <v>135296.00000000003</v>
      </c>
      <c r="AJ113">
        <f>_xlfn.XLOOKUP(AD113, 數據!B$2:B$60, 數據!M$2:M$60)</f>
        <v>151</v>
      </c>
    </row>
    <row r="114" spans="10:36">
      <c r="J114" s="48" t="str">
        <v>月亮伊布</v>
      </c>
      <c r="K114" s="48" t="str">
        <v>惡</v>
      </c>
      <c r="L114" s="48" t="str">
        <v>Y</v>
      </c>
      <c r="M114" s="48">
        <v>111</v>
      </c>
      <c r="N114" s="48" t="str">
        <v>D</v>
      </c>
      <c r="O114" s="79">
        <v>29137.5</v>
      </c>
      <c r="P114" s="91">
        <f t="shared" si="12"/>
        <v>0.13349561268472904</v>
      </c>
      <c r="AD114" s="3" t="s">
        <v>199</v>
      </c>
      <c r="AE114" s="3" t="s">
        <v>80</v>
      </c>
      <c r="AF114" s="4" t="s">
        <v>134</v>
      </c>
      <c r="AG114" s="3">
        <f t="shared" si="11"/>
        <v>155</v>
      </c>
      <c r="AH114" s="3" t="s">
        <v>5</v>
      </c>
      <c r="AI114" s="71">
        <f>AG114*IF(AH114="G", 450, IF(AH114="D", 350, 0)) * IF(AF114="Y", 1.2, 1)*(INDEX(屬性克制表!$B$2:$T$20, MATCH(AE114, 屬性克制表!$A$2:$A$20, 0), MATCH($L$1, 屬性克制表!$B$1:$T$1, 0)) * INDEX(屬性克制表!$B$2:$T$20, MATCH(AE114, 屬性克制表!$A$2:$A$20, 0), MATCH($M$1, 屬性克制表!$B$1:$T$1, 0)))</f>
        <v>133920</v>
      </c>
      <c r="AJ114">
        <f>_xlfn.XLOOKUP(AD114, 數據!B$2:B$65, 數據!M$2:M$65)</f>
        <v>155</v>
      </c>
    </row>
    <row r="115" spans="10:36">
      <c r="J115" t="str">
        <v>壺壺</v>
      </c>
      <c r="K115" t="str">
        <v>蟲</v>
      </c>
      <c r="L115" t="str">
        <v>Y</v>
      </c>
      <c r="M115">
        <v>17</v>
      </c>
      <c r="N115" s="3" t="str">
        <v>D</v>
      </c>
      <c r="O115" s="3">
        <v>7140</v>
      </c>
      <c r="AD115" s="71" t="s">
        <v>201</v>
      </c>
      <c r="AE115" s="3" t="s">
        <v>97</v>
      </c>
      <c r="AF115" s="4" t="s">
        <v>134</v>
      </c>
      <c r="AG115" s="3">
        <f t="shared" si="11"/>
        <v>164</v>
      </c>
      <c r="AH115" s="3" t="s">
        <v>6</v>
      </c>
      <c r="AI115" s="71">
        <f>AG115*IF(AH115="G", 450, IF(AH115="D", 350, 0)) * IF(AF115="Y", 1.2, 1)*(INDEX(屬性克制表!$B$2:$T$20, MATCH(AE115, 屬性克制表!$A$2:$A$20, 0), MATCH($L$1, 屬性克制表!$B$1:$T$1, 0)) * INDEX(屬性克制表!$B$2:$T$20, MATCH(AE115, 屬性克制表!$A$2:$A$20, 0), MATCH($M$1, 屬性克制表!$B$1:$T$1, 0)))</f>
        <v>110208</v>
      </c>
      <c r="AJ115">
        <f>_xlfn.XLOOKUP(AD115, 數據!B$2:B$65, 數據!M$2:M$65)</f>
        <v>164</v>
      </c>
    </row>
    <row r="116" spans="10:36">
      <c r="J116" t="str">
        <v>壺壺</v>
      </c>
      <c r="K116" t="str">
        <v>岩石</v>
      </c>
      <c r="L116" t="str">
        <v>Y</v>
      </c>
      <c r="M116">
        <v>17</v>
      </c>
      <c r="N116" s="3" t="str">
        <v>D</v>
      </c>
      <c r="O116" s="3">
        <v>4462.5</v>
      </c>
      <c r="AD116" s="71" t="s">
        <v>201</v>
      </c>
      <c r="AE116" s="3" t="s">
        <v>45</v>
      </c>
      <c r="AF116" s="4" t="s">
        <v>135</v>
      </c>
      <c r="AG116" s="3">
        <f t="shared" si="11"/>
        <v>164</v>
      </c>
      <c r="AH116" s="3" t="s">
        <v>6</v>
      </c>
      <c r="AI116" s="71">
        <f>AG116*IF(AH116="G", 450, IF(AH116="D", 350, 0)) * IF(AF116="Y", 1.2, 1)*(INDEX(屬性克制表!$B$2:$T$20, MATCH(AE116, 屬性克制表!$A$2:$A$20, 0), MATCH($L$1, 屬性克制表!$B$1:$T$1, 0)) * INDEX(屬性克制表!$B$2:$T$20, MATCH(AE116, 屬性克制表!$A$2:$A$20, 0), MATCH($M$1, 屬性克制表!$B$1:$T$1, 0)))</f>
        <v>57400</v>
      </c>
      <c r="AJ116">
        <f>_xlfn.XLOOKUP(AD116, 數據!B$2:B$65, 數據!M$2:M$65)</f>
        <v>164</v>
      </c>
    </row>
  </sheetData>
  <sortState xmlns:xlrd2="http://schemas.microsoft.com/office/spreadsheetml/2017/richdata2" ref="Y3:AB46">
    <sortCondition descending="1" ref="AB3:AB46"/>
  </sortState>
  <mergeCells count="4">
    <mergeCell ref="E1:F1"/>
    <mergeCell ref="G1:H1"/>
    <mergeCell ref="C1:D1"/>
    <mergeCell ref="A1:B1"/>
  </mergeCells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AD89957-3BC0-4853-B0FA-651C0DCF7C44}">
          <x14:formula1>
            <xm:f>屬性克制表!$A$2:$A$20</xm:f>
          </x14:formula1>
          <xm:sqref>L1:M1 AL1 AN1 AP1 AR1 G1 I1 E1 A1 C1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DC968-0EDB-4F2F-80D6-AEAFFD32C35C}">
  <dimension ref="A1:EJ88"/>
  <sheetViews>
    <sheetView zoomScale="70" zoomScaleNormal="70" workbookViewId="0">
      <pane ySplit="1" topLeftCell="A47" activePane="bottomLeft" state="frozen"/>
      <selection pane="bottomLeft" activeCell="P63" sqref="P63"/>
    </sheetView>
  </sheetViews>
  <sheetFormatPr defaultRowHeight="16.2"/>
  <cols>
    <col min="2" max="2" width="13.88671875" style="48" bestFit="1" customWidth="1"/>
    <col min="3" max="3" width="12.33203125" style="40" customWidth="1"/>
    <col min="4" max="4" width="12.33203125" style="3" customWidth="1"/>
    <col min="5" max="7" width="9.21875" style="3" customWidth="1"/>
    <col min="8" max="8" width="9.21875" style="41" customWidth="1"/>
    <col min="9" max="12" width="9.21875" style="3" customWidth="1"/>
    <col min="13" max="13" width="8.77734375" style="40"/>
    <col min="14" max="15" width="8.77734375" style="3"/>
    <col min="16" max="16" width="8.77734375" style="47"/>
    <col min="18" max="18" width="39.109375" bestFit="1" customWidth="1"/>
    <col min="19" max="19" width="26.21875" bestFit="1" customWidth="1"/>
  </cols>
  <sheetData>
    <row r="1" spans="1:140">
      <c r="B1" s="66"/>
      <c r="C1" s="103" t="s">
        <v>40</v>
      </c>
      <c r="D1" s="104"/>
      <c r="E1" s="103" t="s">
        <v>41</v>
      </c>
      <c r="F1" s="104"/>
      <c r="G1" s="104"/>
      <c r="H1" s="105"/>
      <c r="I1" s="48" t="s">
        <v>138</v>
      </c>
      <c r="J1" s="48" t="s">
        <v>139</v>
      </c>
      <c r="K1" s="48" t="s">
        <v>140</v>
      </c>
      <c r="L1" s="48" t="s">
        <v>141</v>
      </c>
      <c r="M1" s="40" t="s">
        <v>78</v>
      </c>
      <c r="N1" s="3" t="s">
        <v>79</v>
      </c>
      <c r="O1" s="3" t="s">
        <v>89</v>
      </c>
      <c r="P1" s="47" t="s">
        <v>93</v>
      </c>
      <c r="R1" s="85" t="s">
        <v>142</v>
      </c>
      <c r="S1" s="85" t="s">
        <v>143</v>
      </c>
    </row>
    <row r="2" spans="1:140" s="44" customFormat="1">
      <c r="A2" s="52">
        <v>242</v>
      </c>
      <c r="B2" s="48" t="s">
        <v>63</v>
      </c>
      <c r="C2" s="53" t="s">
        <v>74</v>
      </c>
      <c r="D2" s="54"/>
      <c r="E2" s="53" t="s">
        <v>74</v>
      </c>
      <c r="F2" s="54" t="s">
        <v>47</v>
      </c>
      <c r="G2" s="54"/>
      <c r="H2" s="55"/>
      <c r="I2" s="48">
        <v>44</v>
      </c>
      <c r="J2" s="48">
        <v>11</v>
      </c>
      <c r="K2" s="48">
        <v>15</v>
      </c>
      <c r="L2" s="48">
        <v>15</v>
      </c>
      <c r="M2" s="53">
        <v>113</v>
      </c>
      <c r="N2" s="54">
        <v>149</v>
      </c>
      <c r="O2" s="54">
        <v>414</v>
      </c>
      <c r="P2" s="56">
        <f t="shared" ref="P2:P63" si="0">N2*O2/1000</f>
        <v>61.686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</row>
    <row r="3" spans="1:140" s="57" customFormat="1">
      <c r="A3" s="52">
        <v>889</v>
      </c>
      <c r="B3" s="48" t="s">
        <v>88</v>
      </c>
      <c r="C3" s="53" t="s">
        <v>71</v>
      </c>
      <c r="D3" s="54" t="s">
        <v>70</v>
      </c>
      <c r="E3" s="53"/>
      <c r="F3" s="54"/>
      <c r="G3" s="54"/>
      <c r="H3" s="55"/>
      <c r="I3" s="48">
        <v>47</v>
      </c>
      <c r="J3" s="48">
        <v>15</v>
      </c>
      <c r="K3" s="48">
        <v>15</v>
      </c>
      <c r="L3" s="48">
        <v>15</v>
      </c>
      <c r="M3" s="53">
        <v>218</v>
      </c>
      <c r="N3" s="54">
        <v>253</v>
      </c>
      <c r="O3" s="54">
        <v>170</v>
      </c>
      <c r="P3" s="56">
        <f>N3*O3/1000+60/1000</f>
        <v>43.07</v>
      </c>
      <c r="Q3" s="49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</row>
    <row r="4" spans="1:140" s="57" customFormat="1">
      <c r="A4" s="52">
        <v>143</v>
      </c>
      <c r="B4" s="48" t="s">
        <v>85</v>
      </c>
      <c r="C4" s="53" t="s">
        <v>74</v>
      </c>
      <c r="D4" s="54"/>
      <c r="E4" s="53"/>
      <c r="F4" s="54"/>
      <c r="G4" s="54"/>
      <c r="H4" s="55"/>
      <c r="I4" s="48">
        <v>30</v>
      </c>
      <c r="J4" s="48">
        <v>14</v>
      </c>
      <c r="K4" s="48">
        <v>15</v>
      </c>
      <c r="L4" s="48">
        <v>15</v>
      </c>
      <c r="M4" s="53">
        <v>149</v>
      </c>
      <c r="N4" s="54">
        <v>134</v>
      </c>
      <c r="O4" s="54">
        <v>252</v>
      </c>
      <c r="P4" s="56">
        <f t="shared" si="0"/>
        <v>33.768000000000001</v>
      </c>
      <c r="Q4" s="49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</row>
    <row r="5" spans="1:140" s="44" customFormat="1">
      <c r="A5" s="50">
        <v>245</v>
      </c>
      <c r="B5" s="45" t="s">
        <v>23</v>
      </c>
      <c r="C5" s="42" t="s">
        <v>36</v>
      </c>
      <c r="D5" s="39"/>
      <c r="E5" s="42" t="s">
        <v>36</v>
      </c>
      <c r="F5" s="39"/>
      <c r="G5" s="39"/>
      <c r="H5" s="43"/>
      <c r="I5" s="45">
        <v>35</v>
      </c>
      <c r="J5" s="45">
        <v>14</v>
      </c>
      <c r="K5" s="45">
        <v>14</v>
      </c>
      <c r="L5" s="45">
        <v>15</v>
      </c>
      <c r="M5" s="42">
        <v>147</v>
      </c>
      <c r="N5" s="39">
        <v>190</v>
      </c>
      <c r="O5" s="39">
        <v>182</v>
      </c>
      <c r="P5" s="51">
        <f t="shared" si="0"/>
        <v>34.58</v>
      </c>
      <c r="Q5" s="49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</row>
    <row r="6" spans="1:140" s="44" customFormat="1">
      <c r="A6" s="70">
        <v>890</v>
      </c>
      <c r="B6" s="53" t="s">
        <v>137</v>
      </c>
      <c r="C6" s="53" t="s">
        <v>45</v>
      </c>
      <c r="D6" s="54" t="s">
        <v>80</v>
      </c>
      <c r="E6" s="53"/>
      <c r="F6" s="54"/>
      <c r="G6" s="54"/>
      <c r="H6" s="55"/>
      <c r="I6" s="48">
        <v>39</v>
      </c>
      <c r="J6" s="48">
        <v>15</v>
      </c>
      <c r="K6" s="48">
        <v>15</v>
      </c>
      <c r="L6" s="48">
        <v>14</v>
      </c>
      <c r="M6" s="53">
        <v>229</v>
      </c>
      <c r="N6" s="54">
        <v>162</v>
      </c>
      <c r="O6" s="55">
        <v>221</v>
      </c>
      <c r="P6" s="74">
        <f>N6*O6/1000</f>
        <v>35.802</v>
      </c>
      <c r="Q6" s="49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</row>
    <row r="7" spans="1:140" s="57" customFormat="1">
      <c r="A7" s="52">
        <v>144</v>
      </c>
      <c r="B7" s="48" t="s">
        <v>55</v>
      </c>
      <c r="C7" s="53" t="s">
        <v>98</v>
      </c>
      <c r="D7" s="54" t="s">
        <v>43</v>
      </c>
      <c r="E7" s="53" t="s">
        <v>76</v>
      </c>
      <c r="F7" s="54"/>
      <c r="G7" s="54"/>
      <c r="H7" s="55"/>
      <c r="I7" s="48">
        <v>33.5</v>
      </c>
      <c r="J7" s="48">
        <v>15</v>
      </c>
      <c r="K7" s="48">
        <v>12</v>
      </c>
      <c r="L7" s="48">
        <v>11</v>
      </c>
      <c r="M7" s="53">
        <v>155</v>
      </c>
      <c r="N7" s="54">
        <v>186</v>
      </c>
      <c r="O7" s="54">
        <v>164</v>
      </c>
      <c r="P7" s="56">
        <f>N7*O7/1000</f>
        <v>30.504000000000001</v>
      </c>
      <c r="Q7" s="49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</row>
    <row r="8" spans="1:140" s="44" customFormat="1">
      <c r="A8" s="50">
        <v>131</v>
      </c>
      <c r="B8" s="45" t="s">
        <v>86</v>
      </c>
      <c r="C8" s="42" t="s">
        <v>36</v>
      </c>
      <c r="D8" s="39" t="s">
        <v>76</v>
      </c>
      <c r="E8" s="42"/>
      <c r="F8" s="39"/>
      <c r="G8" s="39"/>
      <c r="H8" s="43"/>
      <c r="I8" s="45">
        <v>40</v>
      </c>
      <c r="J8" s="45">
        <v>14</v>
      </c>
      <c r="K8" s="45">
        <v>13</v>
      </c>
      <c r="L8" s="45">
        <v>15</v>
      </c>
      <c r="M8" s="42">
        <v>141</v>
      </c>
      <c r="N8" s="39">
        <v>147</v>
      </c>
      <c r="O8" s="39">
        <v>230</v>
      </c>
      <c r="P8" s="51">
        <f t="shared" si="0"/>
        <v>33.81</v>
      </c>
      <c r="Q8" s="49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</row>
    <row r="9" spans="1:140">
      <c r="A9" s="49">
        <v>380</v>
      </c>
      <c r="B9" s="47" t="s">
        <v>82</v>
      </c>
      <c r="C9" s="40" t="s">
        <v>45</v>
      </c>
      <c r="D9" s="3" t="s">
        <v>47</v>
      </c>
      <c r="E9" s="40" t="s">
        <v>44</v>
      </c>
      <c r="F9" s="3" t="s">
        <v>47</v>
      </c>
      <c r="I9" s="47">
        <v>24.5</v>
      </c>
      <c r="J9" s="47">
        <v>12</v>
      </c>
      <c r="K9" s="47">
        <v>10</v>
      </c>
      <c r="L9" s="47">
        <v>11</v>
      </c>
      <c r="M9" s="40">
        <v>158</v>
      </c>
      <c r="N9" s="3">
        <v>169</v>
      </c>
      <c r="O9" s="3">
        <v>132</v>
      </c>
      <c r="P9" s="46">
        <f t="shared" si="0"/>
        <v>22.308</v>
      </c>
      <c r="Q9" s="49"/>
    </row>
    <row r="10" spans="1:140" s="57" customFormat="1">
      <c r="A10" s="52">
        <v>888</v>
      </c>
      <c r="B10" s="48" t="s">
        <v>87</v>
      </c>
      <c r="C10" s="53" t="s">
        <v>71</v>
      </c>
      <c r="D10" s="54" t="s">
        <v>99</v>
      </c>
      <c r="E10" s="53"/>
      <c r="F10" s="54"/>
      <c r="G10" s="54"/>
      <c r="H10" s="55"/>
      <c r="I10" s="48">
        <v>50</v>
      </c>
      <c r="J10" s="48">
        <v>15</v>
      </c>
      <c r="K10" s="48">
        <v>14</v>
      </c>
      <c r="L10" s="48">
        <v>15</v>
      </c>
      <c r="M10" s="53">
        <v>291</v>
      </c>
      <c r="N10" s="54">
        <v>213</v>
      </c>
      <c r="O10" s="54">
        <v>173</v>
      </c>
      <c r="P10" s="56">
        <f t="shared" si="0"/>
        <v>36.848999999999997</v>
      </c>
      <c r="Q10" s="49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</row>
    <row r="11" spans="1:140">
      <c r="A11" s="49">
        <v>381</v>
      </c>
      <c r="B11" s="48" t="s">
        <v>81</v>
      </c>
      <c r="C11" s="53" t="s">
        <v>45</v>
      </c>
      <c r="D11" s="54" t="s">
        <v>47</v>
      </c>
      <c r="E11" s="40" t="s">
        <v>44</v>
      </c>
      <c r="F11" s="3" t="s">
        <v>47</v>
      </c>
      <c r="I11" s="47">
        <v>38.5</v>
      </c>
      <c r="J11" s="47">
        <v>15</v>
      </c>
      <c r="K11" s="47">
        <v>14</v>
      </c>
      <c r="L11" s="47">
        <v>13</v>
      </c>
      <c r="M11" s="40">
        <v>221</v>
      </c>
      <c r="N11" s="3">
        <v>176</v>
      </c>
      <c r="O11" s="3">
        <v>158</v>
      </c>
      <c r="P11" s="46">
        <f t="shared" si="0"/>
        <v>27.808</v>
      </c>
      <c r="Q11" s="49"/>
    </row>
    <row r="12" spans="1:140" s="57" customFormat="1">
      <c r="A12" s="52">
        <v>376</v>
      </c>
      <c r="B12" s="47" t="s">
        <v>51</v>
      </c>
      <c r="C12" s="40" t="s">
        <v>71</v>
      </c>
      <c r="D12" s="3" t="s">
        <v>47</v>
      </c>
      <c r="E12" s="53" t="s">
        <v>71</v>
      </c>
      <c r="F12" s="54" t="s">
        <v>47</v>
      </c>
      <c r="G12" s="54" t="s">
        <v>46</v>
      </c>
      <c r="H12" s="55"/>
      <c r="I12" s="48">
        <v>40</v>
      </c>
      <c r="J12" s="48">
        <v>15</v>
      </c>
      <c r="K12" s="48">
        <v>12</v>
      </c>
      <c r="L12" s="48">
        <v>14</v>
      </c>
      <c r="M12" s="53">
        <v>214</v>
      </c>
      <c r="N12" s="54">
        <v>189</v>
      </c>
      <c r="O12" s="54">
        <v>161</v>
      </c>
      <c r="P12" s="56">
        <f t="shared" si="0"/>
        <v>30.428999999999998</v>
      </c>
      <c r="Q12" s="49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</row>
    <row r="13" spans="1:140">
      <c r="A13" s="49">
        <v>244</v>
      </c>
      <c r="B13" s="48" t="s">
        <v>8</v>
      </c>
      <c r="C13" s="53" t="s">
        <v>42</v>
      </c>
      <c r="D13" s="54"/>
      <c r="E13" s="40" t="s">
        <v>42</v>
      </c>
      <c r="I13" s="47">
        <v>27.5</v>
      </c>
      <c r="J13" s="47">
        <v>15</v>
      </c>
      <c r="K13" s="47">
        <v>13</v>
      </c>
      <c r="L13" s="47">
        <v>12</v>
      </c>
      <c r="M13" s="40">
        <v>175</v>
      </c>
      <c r="N13" s="3">
        <v>128</v>
      </c>
      <c r="O13" s="3">
        <v>184</v>
      </c>
      <c r="P13" s="46">
        <f t="shared" si="0"/>
        <v>23.552</v>
      </c>
      <c r="Q13" s="49"/>
    </row>
    <row r="14" spans="1:140" s="57" customFormat="1">
      <c r="A14" s="52">
        <v>823</v>
      </c>
      <c r="B14" s="47" t="s">
        <v>61</v>
      </c>
      <c r="C14" s="40" t="s">
        <v>71</v>
      </c>
      <c r="D14" s="3" t="s">
        <v>43</v>
      </c>
      <c r="E14" s="53" t="s">
        <v>71</v>
      </c>
      <c r="F14" s="54" t="s">
        <v>43</v>
      </c>
      <c r="G14" s="54" t="s">
        <v>75</v>
      </c>
      <c r="H14" s="55"/>
      <c r="I14" s="48">
        <v>43</v>
      </c>
      <c r="J14" s="48">
        <v>11</v>
      </c>
      <c r="K14" s="48">
        <v>14</v>
      </c>
      <c r="L14" s="48">
        <v>15</v>
      </c>
      <c r="M14" s="53">
        <v>140</v>
      </c>
      <c r="N14" s="54">
        <v>165</v>
      </c>
      <c r="O14" s="54">
        <v>190</v>
      </c>
      <c r="P14" s="56">
        <f t="shared" si="0"/>
        <v>31.35</v>
      </c>
      <c r="Q14" s="49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</row>
    <row r="15" spans="1:140">
      <c r="A15" s="49">
        <v>615</v>
      </c>
      <c r="B15" s="48" t="s">
        <v>60</v>
      </c>
      <c r="C15" s="53" t="s">
        <v>76</v>
      </c>
      <c r="D15" s="54"/>
      <c r="E15" s="40" t="s">
        <v>76</v>
      </c>
      <c r="I15" s="47">
        <v>33</v>
      </c>
      <c r="J15" s="47">
        <v>15</v>
      </c>
      <c r="K15" s="47">
        <v>14</v>
      </c>
      <c r="L15" s="47">
        <v>13</v>
      </c>
      <c r="M15" s="40">
        <v>153</v>
      </c>
      <c r="N15" s="3">
        <v>173</v>
      </c>
      <c r="O15" s="3">
        <v>152</v>
      </c>
      <c r="P15" s="46">
        <f t="shared" si="0"/>
        <v>26.295999999999999</v>
      </c>
      <c r="Q15" s="49"/>
    </row>
    <row r="16" spans="1:140" s="57" customFormat="1">
      <c r="A16" s="52">
        <v>820</v>
      </c>
      <c r="B16" s="47" t="s">
        <v>67</v>
      </c>
      <c r="C16" s="40" t="s">
        <v>74</v>
      </c>
      <c r="D16" s="3"/>
      <c r="E16" s="53" t="s">
        <v>74</v>
      </c>
      <c r="F16" s="54" t="s">
        <v>75</v>
      </c>
      <c r="G16" s="54" t="s">
        <v>37</v>
      </c>
      <c r="H16" s="55" t="s">
        <v>35</v>
      </c>
      <c r="I16" s="48">
        <v>40</v>
      </c>
      <c r="J16" s="48">
        <v>15</v>
      </c>
      <c r="K16" s="48">
        <v>15</v>
      </c>
      <c r="L16" s="48">
        <v>15</v>
      </c>
      <c r="M16" s="53">
        <v>138</v>
      </c>
      <c r="N16" s="54">
        <v>135</v>
      </c>
      <c r="O16" s="54">
        <v>217</v>
      </c>
      <c r="P16" s="56">
        <f t="shared" si="0"/>
        <v>29.295000000000002</v>
      </c>
      <c r="Q16" s="49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</row>
    <row r="17" spans="1:139">
      <c r="A17" s="49">
        <v>243</v>
      </c>
      <c r="B17" s="48" t="s">
        <v>64</v>
      </c>
      <c r="C17" s="53" t="s">
        <v>77</v>
      </c>
      <c r="D17" s="54"/>
      <c r="E17" s="40" t="s">
        <v>77</v>
      </c>
      <c r="I17" s="47">
        <v>36</v>
      </c>
      <c r="J17" s="47">
        <v>13</v>
      </c>
      <c r="K17" s="47">
        <v>15</v>
      </c>
      <c r="L17" s="47">
        <v>15</v>
      </c>
      <c r="M17" s="40">
        <v>194</v>
      </c>
      <c r="N17" s="3">
        <v>161</v>
      </c>
      <c r="O17" s="3">
        <v>170</v>
      </c>
      <c r="P17" s="46">
        <f t="shared" si="0"/>
        <v>27.37</v>
      </c>
      <c r="Q17" s="49"/>
    </row>
    <row r="18" spans="1:139" s="57" customFormat="1">
      <c r="A18" s="52">
        <v>892</v>
      </c>
      <c r="B18" s="47" t="s">
        <v>90</v>
      </c>
      <c r="C18" s="40" t="s">
        <v>94</v>
      </c>
      <c r="D18" s="3" t="s">
        <v>37</v>
      </c>
      <c r="E18" s="53" t="s">
        <v>70</v>
      </c>
      <c r="F18" s="54" t="s">
        <v>37</v>
      </c>
      <c r="G18" s="54"/>
      <c r="H18" s="55"/>
      <c r="I18" s="48">
        <v>40</v>
      </c>
      <c r="J18" s="48">
        <v>12</v>
      </c>
      <c r="K18" s="48">
        <v>13</v>
      </c>
      <c r="L18" s="48">
        <v>13</v>
      </c>
      <c r="M18" s="53">
        <v>210</v>
      </c>
      <c r="N18" s="54">
        <v>150</v>
      </c>
      <c r="O18" s="54">
        <v>188</v>
      </c>
      <c r="P18" s="56">
        <f t="shared" si="0"/>
        <v>28.2</v>
      </c>
      <c r="Q18" s="49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</row>
    <row r="19" spans="1:139">
      <c r="A19" s="49">
        <v>892</v>
      </c>
      <c r="B19" s="48" t="s">
        <v>18</v>
      </c>
      <c r="C19" s="53" t="s">
        <v>94</v>
      </c>
      <c r="D19" s="54" t="s">
        <v>36</v>
      </c>
      <c r="E19" s="40" t="s">
        <v>70</v>
      </c>
      <c r="F19" s="3" t="s">
        <v>36</v>
      </c>
      <c r="I19" s="48">
        <v>40</v>
      </c>
      <c r="J19" s="48">
        <v>12</v>
      </c>
      <c r="K19" s="48">
        <v>13</v>
      </c>
      <c r="L19" s="48">
        <v>13</v>
      </c>
      <c r="M19" s="53">
        <v>210</v>
      </c>
      <c r="N19" s="54">
        <v>150</v>
      </c>
      <c r="O19" s="54">
        <v>188</v>
      </c>
      <c r="P19" s="46">
        <f t="shared" si="0"/>
        <v>28.2</v>
      </c>
      <c r="Q19" s="49"/>
    </row>
    <row r="20" spans="1:139" s="57" customFormat="1">
      <c r="A20" s="52">
        <v>9</v>
      </c>
      <c r="B20" s="47" t="s">
        <v>25</v>
      </c>
      <c r="C20" s="40" t="s">
        <v>36</v>
      </c>
      <c r="D20" s="3"/>
      <c r="E20" s="53" t="s">
        <v>36</v>
      </c>
      <c r="F20" s="54" t="s">
        <v>37</v>
      </c>
      <c r="G20" s="54" t="s">
        <v>39</v>
      </c>
      <c r="H20" s="55"/>
      <c r="I20" s="48">
        <v>40</v>
      </c>
      <c r="J20" s="48">
        <v>13</v>
      </c>
      <c r="K20" s="48">
        <v>15</v>
      </c>
      <c r="L20" s="48">
        <v>14</v>
      </c>
      <c r="M20" s="53">
        <v>145</v>
      </c>
      <c r="N20" s="54">
        <v>175</v>
      </c>
      <c r="O20" s="54">
        <v>159</v>
      </c>
      <c r="P20" s="56">
        <f t="shared" si="0"/>
        <v>27.824999999999999</v>
      </c>
      <c r="Q20" s="49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</row>
    <row r="21" spans="1:139">
      <c r="A21" s="49">
        <v>145</v>
      </c>
      <c r="B21" s="48" t="s">
        <v>56</v>
      </c>
      <c r="C21" s="53" t="s">
        <v>77</v>
      </c>
      <c r="D21" s="54" t="s">
        <v>43</v>
      </c>
      <c r="E21" s="40" t="s">
        <v>77</v>
      </c>
      <c r="F21" s="3" t="s">
        <v>43</v>
      </c>
      <c r="I21" s="47">
        <v>35</v>
      </c>
      <c r="J21" s="47">
        <v>14</v>
      </c>
      <c r="K21" s="47">
        <v>14</v>
      </c>
      <c r="L21" s="47">
        <v>14</v>
      </c>
      <c r="M21" s="40">
        <v>203</v>
      </c>
      <c r="N21" s="3">
        <v>151</v>
      </c>
      <c r="O21" s="3">
        <v>168</v>
      </c>
      <c r="P21" s="46">
        <f t="shared" si="0"/>
        <v>25.367999999999999</v>
      </c>
      <c r="Q21" s="49"/>
    </row>
    <row r="22" spans="1:139" s="57" customFormat="1">
      <c r="A22" s="52">
        <v>812</v>
      </c>
      <c r="B22" s="47" t="s">
        <v>91</v>
      </c>
      <c r="C22" s="40" t="s">
        <v>35</v>
      </c>
      <c r="D22" s="3"/>
      <c r="E22" s="53" t="s">
        <v>35</v>
      </c>
      <c r="F22" s="54"/>
      <c r="G22" s="54"/>
      <c r="H22" s="55"/>
      <c r="I22" s="48">
        <v>40</v>
      </c>
      <c r="J22" s="48">
        <v>15</v>
      </c>
      <c r="K22" s="48">
        <v>13</v>
      </c>
      <c r="L22" s="48">
        <v>15</v>
      </c>
      <c r="M22" s="53">
        <v>200</v>
      </c>
      <c r="N22" s="54">
        <v>143</v>
      </c>
      <c r="O22" s="54">
        <v>189</v>
      </c>
      <c r="P22" s="56">
        <f t="shared" si="0"/>
        <v>27.027000000000001</v>
      </c>
      <c r="Q22" s="49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</row>
    <row r="23" spans="1:139">
      <c r="A23" s="49">
        <v>146</v>
      </c>
      <c r="B23" s="48" t="s">
        <v>57</v>
      </c>
      <c r="C23" s="53" t="s">
        <v>42</v>
      </c>
      <c r="D23" s="54" t="s">
        <v>43</v>
      </c>
      <c r="E23" s="40" t="s">
        <v>42</v>
      </c>
      <c r="F23" s="3" t="s">
        <v>43</v>
      </c>
      <c r="I23" s="47">
        <v>33.5</v>
      </c>
      <c r="J23" s="47">
        <v>15</v>
      </c>
      <c r="K23" s="47">
        <v>13</v>
      </c>
      <c r="L23" s="47">
        <v>10</v>
      </c>
      <c r="M23" s="40">
        <v>200</v>
      </c>
      <c r="N23" s="3">
        <v>146</v>
      </c>
      <c r="O23" s="3">
        <v>163</v>
      </c>
      <c r="P23" s="46">
        <f t="shared" si="0"/>
        <v>23.797999999999998</v>
      </c>
      <c r="Q23" s="49"/>
    </row>
    <row r="24" spans="1:139" s="57" customFormat="1">
      <c r="A24" s="52">
        <v>766</v>
      </c>
      <c r="B24" s="47" t="s">
        <v>66</v>
      </c>
      <c r="C24" s="40" t="s">
        <v>70</v>
      </c>
      <c r="D24" s="3"/>
      <c r="E24" s="53" t="s">
        <v>70</v>
      </c>
      <c r="F24" s="54" t="s">
        <v>74</v>
      </c>
      <c r="G24" s="54"/>
      <c r="H24" s="55"/>
      <c r="I24" s="48">
        <v>36</v>
      </c>
      <c r="J24" s="48">
        <v>15</v>
      </c>
      <c r="K24" s="48">
        <v>11</v>
      </c>
      <c r="L24" s="48">
        <v>15</v>
      </c>
      <c r="M24" s="53">
        <v>181</v>
      </c>
      <c r="N24" s="54">
        <v>131</v>
      </c>
      <c r="O24" s="54">
        <v>184</v>
      </c>
      <c r="P24" s="56">
        <f t="shared" si="0"/>
        <v>24.103999999999999</v>
      </c>
      <c r="Q24" s="49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</row>
    <row r="25" spans="1:139">
      <c r="A25" s="49">
        <v>3</v>
      </c>
      <c r="B25" s="48" t="s">
        <v>33</v>
      </c>
      <c r="C25" s="53" t="s">
        <v>35</v>
      </c>
      <c r="D25" s="54" t="s">
        <v>80</v>
      </c>
      <c r="E25" s="40" t="s">
        <v>35</v>
      </c>
      <c r="I25" s="47">
        <v>40</v>
      </c>
      <c r="J25" s="47">
        <v>4</v>
      </c>
      <c r="K25" s="47">
        <v>9</v>
      </c>
      <c r="L25" s="47">
        <v>3</v>
      </c>
      <c r="M25" s="40">
        <v>159</v>
      </c>
      <c r="N25" s="3">
        <v>156</v>
      </c>
      <c r="O25" s="3">
        <v>152</v>
      </c>
      <c r="P25" s="46">
        <f t="shared" si="0"/>
        <v>23.712</v>
      </c>
      <c r="Q25" s="49"/>
    </row>
    <row r="26" spans="1:139" s="57" customFormat="1">
      <c r="A26" s="52">
        <v>832</v>
      </c>
      <c r="B26" s="47" t="s">
        <v>68</v>
      </c>
      <c r="C26" s="40" t="s">
        <v>74</v>
      </c>
      <c r="D26" s="3"/>
      <c r="E26" s="53" t="s">
        <v>70</v>
      </c>
      <c r="F26" s="54"/>
      <c r="G26" s="54"/>
      <c r="H26" s="55"/>
      <c r="I26" s="48">
        <v>40</v>
      </c>
      <c r="J26" s="48">
        <v>14</v>
      </c>
      <c r="K26" s="48">
        <v>14</v>
      </c>
      <c r="L26" s="48">
        <v>13</v>
      </c>
      <c r="M26" s="53">
        <v>136</v>
      </c>
      <c r="N26" s="54">
        <v>167</v>
      </c>
      <c r="O26" s="54">
        <v>149</v>
      </c>
      <c r="P26" s="56">
        <f t="shared" si="0"/>
        <v>24.882999999999999</v>
      </c>
      <c r="Q26" s="49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</row>
    <row r="27" spans="1:139">
      <c r="A27" s="49">
        <v>139</v>
      </c>
      <c r="B27" s="48" t="s">
        <v>84</v>
      </c>
      <c r="C27" s="53" t="s">
        <v>38</v>
      </c>
      <c r="D27" s="54" t="s">
        <v>36</v>
      </c>
      <c r="E27" s="40" t="s">
        <v>39</v>
      </c>
      <c r="F27" s="3" t="s">
        <v>36</v>
      </c>
      <c r="G27" s="3" t="s">
        <v>75</v>
      </c>
      <c r="I27" s="47">
        <v>42</v>
      </c>
      <c r="J27" s="47">
        <v>15</v>
      </c>
      <c r="K27" s="47">
        <v>15</v>
      </c>
      <c r="L27" s="47">
        <v>13</v>
      </c>
      <c r="M27" s="40">
        <v>177</v>
      </c>
      <c r="N27" s="3">
        <v>172</v>
      </c>
      <c r="O27" s="3">
        <v>148</v>
      </c>
      <c r="P27" s="46">
        <f t="shared" si="0"/>
        <v>25.456</v>
      </c>
      <c r="Q27" s="49"/>
    </row>
    <row r="28" spans="1:139" s="57" customFormat="1">
      <c r="A28" s="52">
        <v>213</v>
      </c>
      <c r="B28" s="47" t="s">
        <v>49</v>
      </c>
      <c r="C28" s="40" t="s">
        <v>38</v>
      </c>
      <c r="D28" s="3" t="s">
        <v>46</v>
      </c>
      <c r="E28" s="53" t="s">
        <v>38</v>
      </c>
      <c r="F28" s="54" t="s">
        <v>46</v>
      </c>
      <c r="G28" s="54"/>
      <c r="H28" s="55"/>
      <c r="I28" s="48">
        <v>41</v>
      </c>
      <c r="J28" s="48">
        <v>13</v>
      </c>
      <c r="K28" s="48">
        <v>15</v>
      </c>
      <c r="L28" s="48">
        <v>14</v>
      </c>
      <c r="M28" s="53">
        <v>17</v>
      </c>
      <c r="N28" s="54">
        <v>396</v>
      </c>
      <c r="O28" s="54">
        <v>85</v>
      </c>
      <c r="P28" s="56">
        <f t="shared" si="0"/>
        <v>33.659999999999997</v>
      </c>
      <c r="Q28" s="49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</row>
    <row r="29" spans="1:139">
      <c r="A29" s="49">
        <v>68</v>
      </c>
      <c r="B29" s="48" t="s">
        <v>62</v>
      </c>
      <c r="C29" s="53" t="s">
        <v>70</v>
      </c>
      <c r="D29" s="54"/>
      <c r="E29" s="40" t="s">
        <v>70</v>
      </c>
      <c r="F29" s="3" t="s">
        <v>71</v>
      </c>
      <c r="I29" s="47">
        <v>50</v>
      </c>
      <c r="J29" s="47">
        <v>12</v>
      </c>
      <c r="K29" s="47">
        <v>14</v>
      </c>
      <c r="L29" s="47">
        <v>15</v>
      </c>
      <c r="M29" s="40">
        <v>201</v>
      </c>
      <c r="N29" s="3">
        <v>141</v>
      </c>
      <c r="O29" s="3">
        <v>180</v>
      </c>
      <c r="P29" s="46">
        <f t="shared" si="0"/>
        <v>25.38</v>
      </c>
      <c r="Q29" s="49"/>
    </row>
    <row r="30" spans="1:139" s="57" customFormat="1">
      <c r="A30" s="52">
        <v>6</v>
      </c>
      <c r="B30" s="47" t="s">
        <v>0</v>
      </c>
      <c r="C30" s="40" t="s">
        <v>100</v>
      </c>
      <c r="D30" s="3" t="s">
        <v>43</v>
      </c>
      <c r="E30" s="53" t="s">
        <v>42</v>
      </c>
      <c r="F30" s="54" t="s">
        <v>43</v>
      </c>
      <c r="G30" s="54" t="s">
        <v>45</v>
      </c>
      <c r="H30" s="55"/>
      <c r="I30" s="48">
        <v>40</v>
      </c>
      <c r="J30" s="48">
        <v>14</v>
      </c>
      <c r="K30" s="48">
        <v>11</v>
      </c>
      <c r="L30" s="48">
        <v>12</v>
      </c>
      <c r="M30" s="53">
        <v>187</v>
      </c>
      <c r="N30" s="54">
        <v>145</v>
      </c>
      <c r="O30" s="54">
        <v>156</v>
      </c>
      <c r="P30" s="56">
        <f t="shared" si="0"/>
        <v>22.62</v>
      </c>
      <c r="Q30" s="49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</row>
    <row r="31" spans="1:139">
      <c r="A31" s="49">
        <v>530</v>
      </c>
      <c r="B31" s="48" t="s">
        <v>59</v>
      </c>
      <c r="C31" s="53" t="s">
        <v>73</v>
      </c>
      <c r="D31" s="54" t="s">
        <v>71</v>
      </c>
      <c r="E31" s="40" t="s">
        <v>75</v>
      </c>
      <c r="F31" s="3" t="s">
        <v>71</v>
      </c>
      <c r="I31" s="47">
        <v>43</v>
      </c>
      <c r="J31" s="47">
        <v>15</v>
      </c>
      <c r="K31" s="47">
        <v>15</v>
      </c>
      <c r="L31" s="47">
        <v>15</v>
      </c>
      <c r="M31" s="40">
        <v>217</v>
      </c>
      <c r="N31" s="3">
        <v>115</v>
      </c>
      <c r="O31" s="3">
        <v>206</v>
      </c>
      <c r="P31" s="46">
        <f t="shared" si="0"/>
        <v>23.69</v>
      </c>
      <c r="Q31" s="49"/>
    </row>
    <row r="32" spans="1:139" s="57" customFormat="1">
      <c r="A32" s="52">
        <v>569</v>
      </c>
      <c r="B32" s="47" t="s">
        <v>52</v>
      </c>
      <c r="C32" s="40" t="s">
        <v>80</v>
      </c>
      <c r="D32" s="3"/>
      <c r="E32" s="53" t="s">
        <v>46</v>
      </c>
      <c r="F32" s="54" t="s">
        <v>74</v>
      </c>
      <c r="G32" s="54"/>
      <c r="H32" s="55"/>
      <c r="I32" s="48">
        <v>40</v>
      </c>
      <c r="J32" s="48">
        <v>13</v>
      </c>
      <c r="K32" s="48">
        <v>14</v>
      </c>
      <c r="L32" s="48">
        <v>15</v>
      </c>
      <c r="M32" s="53">
        <v>153</v>
      </c>
      <c r="N32" s="54">
        <v>140</v>
      </c>
      <c r="O32" s="54">
        <v>162</v>
      </c>
      <c r="P32" s="56">
        <f t="shared" si="0"/>
        <v>22.68</v>
      </c>
      <c r="Q32" s="49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</row>
    <row r="33" spans="1:139">
      <c r="A33" s="49">
        <v>815</v>
      </c>
      <c r="B33" s="48" t="s">
        <v>1</v>
      </c>
      <c r="C33" s="53" t="s">
        <v>42</v>
      </c>
      <c r="D33" s="54"/>
      <c r="E33" s="40" t="s">
        <v>42</v>
      </c>
      <c r="F33" s="3" t="s">
        <v>74</v>
      </c>
      <c r="I33" s="47">
        <v>46</v>
      </c>
      <c r="J33" s="47">
        <v>12</v>
      </c>
      <c r="K33" s="47">
        <v>14</v>
      </c>
      <c r="L33" s="47">
        <v>15</v>
      </c>
      <c r="M33" s="40">
        <v>205</v>
      </c>
      <c r="N33" s="3">
        <v>145</v>
      </c>
      <c r="O33" s="3">
        <v>168</v>
      </c>
      <c r="P33" s="46">
        <f t="shared" si="0"/>
        <v>24.36</v>
      </c>
      <c r="Q33" s="49"/>
    </row>
    <row r="34" spans="1:139" s="57" customFormat="1">
      <c r="A34" s="52">
        <v>321</v>
      </c>
      <c r="B34" s="47" t="s">
        <v>24</v>
      </c>
      <c r="C34" s="40" t="s">
        <v>36</v>
      </c>
      <c r="D34" s="3"/>
      <c r="E34" s="53" t="s">
        <v>36</v>
      </c>
      <c r="F34" s="54" t="s">
        <v>47</v>
      </c>
      <c r="G34" s="54" t="s">
        <v>39</v>
      </c>
      <c r="H34" s="55"/>
      <c r="I34" s="48">
        <v>40</v>
      </c>
      <c r="J34" s="48">
        <v>12</v>
      </c>
      <c r="K34" s="48">
        <v>15</v>
      </c>
      <c r="L34" s="48">
        <v>15</v>
      </c>
      <c r="M34" s="53">
        <v>147</v>
      </c>
      <c r="N34" s="54">
        <v>80</v>
      </c>
      <c r="O34" s="54">
        <v>286</v>
      </c>
      <c r="P34" s="56">
        <f t="shared" si="0"/>
        <v>22.88</v>
      </c>
      <c r="Q34" s="49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</row>
    <row r="35" spans="1:139">
      <c r="A35" s="49">
        <v>141</v>
      </c>
      <c r="B35" s="48" t="s">
        <v>54</v>
      </c>
      <c r="C35" s="53" t="s">
        <v>36</v>
      </c>
      <c r="D35" s="54" t="s">
        <v>36</v>
      </c>
      <c r="E35" s="40" t="s">
        <v>36</v>
      </c>
      <c r="F35" s="3" t="s">
        <v>75</v>
      </c>
      <c r="G35" s="3" t="s">
        <v>70</v>
      </c>
      <c r="H35" s="41" t="s">
        <v>46</v>
      </c>
      <c r="I35" s="47">
        <v>40</v>
      </c>
      <c r="J35" s="47">
        <v>15</v>
      </c>
      <c r="K35" s="47">
        <v>15</v>
      </c>
      <c r="L35" s="47">
        <v>15</v>
      </c>
      <c r="M35" s="40">
        <v>185</v>
      </c>
      <c r="N35" s="3">
        <v>158</v>
      </c>
      <c r="O35" s="3">
        <v>134</v>
      </c>
      <c r="P35" s="46">
        <f t="shared" si="0"/>
        <v>21.172000000000001</v>
      </c>
      <c r="Q35" s="49"/>
    </row>
    <row r="36" spans="1:139" s="57" customFormat="1">
      <c r="A36" s="52">
        <v>521</v>
      </c>
      <c r="B36" s="47" t="s">
        <v>58</v>
      </c>
      <c r="C36" s="40" t="s">
        <v>74</v>
      </c>
      <c r="D36" s="3" t="s">
        <v>43</v>
      </c>
      <c r="E36" s="53" t="s">
        <v>43</v>
      </c>
      <c r="F36" s="54" t="s">
        <v>71</v>
      </c>
      <c r="G36" s="54"/>
      <c r="H36" s="55"/>
      <c r="I36" s="48">
        <v>40</v>
      </c>
      <c r="J36" s="48">
        <v>13</v>
      </c>
      <c r="K36" s="48">
        <v>15</v>
      </c>
      <c r="L36" s="48">
        <v>13</v>
      </c>
      <c r="M36" s="53">
        <v>188</v>
      </c>
      <c r="N36" s="54">
        <v>127</v>
      </c>
      <c r="O36" s="54">
        <v>160</v>
      </c>
      <c r="P36" s="56">
        <f t="shared" si="0"/>
        <v>20.32</v>
      </c>
      <c r="Q36" s="49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</row>
    <row r="37" spans="1:139">
      <c r="A37" s="49">
        <v>870</v>
      </c>
      <c r="B37" s="48" t="s">
        <v>69</v>
      </c>
      <c r="C37" s="53" t="s">
        <v>70</v>
      </c>
      <c r="D37" s="54"/>
      <c r="E37" s="40" t="s">
        <v>70</v>
      </c>
      <c r="I37" s="47">
        <v>37</v>
      </c>
      <c r="J37" s="47">
        <v>15</v>
      </c>
      <c r="K37" s="47">
        <v>15</v>
      </c>
      <c r="L37" s="47">
        <v>15</v>
      </c>
      <c r="M37" s="40">
        <v>160</v>
      </c>
      <c r="N37" s="3">
        <v>143</v>
      </c>
      <c r="O37" s="3">
        <v>137</v>
      </c>
      <c r="P37" s="46">
        <f t="shared" si="0"/>
        <v>19.591000000000001</v>
      </c>
      <c r="Q37" s="49"/>
    </row>
    <row r="38" spans="1:139" s="57" customFormat="1">
      <c r="A38" s="52">
        <v>858</v>
      </c>
      <c r="B38" s="47" t="s">
        <v>53</v>
      </c>
      <c r="C38" s="40" t="s">
        <v>99</v>
      </c>
      <c r="D38" s="3" t="s">
        <v>97</v>
      </c>
      <c r="E38" s="53" t="s">
        <v>47</v>
      </c>
      <c r="F38" s="54" t="s">
        <v>83</v>
      </c>
      <c r="G38" s="54"/>
      <c r="H38" s="55"/>
      <c r="I38" s="48">
        <v>40</v>
      </c>
      <c r="J38" s="48">
        <v>14</v>
      </c>
      <c r="K38" s="48">
        <v>15</v>
      </c>
      <c r="L38" s="48">
        <v>14</v>
      </c>
      <c r="M38" s="53">
        <v>198</v>
      </c>
      <c r="N38" s="54">
        <v>155</v>
      </c>
      <c r="O38" s="54">
        <v>128</v>
      </c>
      <c r="P38" s="56">
        <f t="shared" si="0"/>
        <v>19.84</v>
      </c>
      <c r="Q38" s="49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</row>
    <row r="39" spans="1:139">
      <c r="A39" s="49">
        <v>555</v>
      </c>
      <c r="B39" s="48" t="s">
        <v>65</v>
      </c>
      <c r="C39" s="53" t="s">
        <v>42</v>
      </c>
      <c r="D39" s="54"/>
      <c r="E39" s="40" t="s">
        <v>74</v>
      </c>
      <c r="I39" s="47">
        <v>40</v>
      </c>
      <c r="J39" s="47">
        <v>14</v>
      </c>
      <c r="K39" s="47">
        <v>13</v>
      </c>
      <c r="L39" s="47">
        <v>12</v>
      </c>
      <c r="M39" s="40">
        <v>218</v>
      </c>
      <c r="N39" s="3">
        <v>100</v>
      </c>
      <c r="O39" s="3">
        <v>193</v>
      </c>
      <c r="P39" s="46">
        <f t="shared" si="0"/>
        <v>19.3</v>
      </c>
      <c r="Q39" s="49"/>
    </row>
    <row r="40" spans="1:139" s="57" customFormat="1">
      <c r="A40" s="52">
        <v>99</v>
      </c>
      <c r="B40" s="47" t="s">
        <v>19</v>
      </c>
      <c r="C40" s="40" t="s">
        <v>36</v>
      </c>
      <c r="D40" s="3"/>
      <c r="E40" s="53" t="s">
        <v>36</v>
      </c>
      <c r="F40" s="54" t="s">
        <v>71</v>
      </c>
      <c r="G40" s="54" t="s">
        <v>73</v>
      </c>
      <c r="H40" s="55"/>
      <c r="I40" s="48">
        <v>40</v>
      </c>
      <c r="J40" s="48">
        <v>11</v>
      </c>
      <c r="K40" s="48">
        <v>13</v>
      </c>
      <c r="L40" s="48">
        <v>15</v>
      </c>
      <c r="M40" s="53">
        <v>198</v>
      </c>
      <c r="N40" s="54">
        <v>153</v>
      </c>
      <c r="O40" s="54">
        <v>127</v>
      </c>
      <c r="P40" s="56">
        <f t="shared" si="0"/>
        <v>19.431000000000001</v>
      </c>
      <c r="Q40" s="49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</row>
    <row r="41" spans="1:139">
      <c r="A41" s="49">
        <v>849</v>
      </c>
      <c r="B41" s="48" t="s">
        <v>92</v>
      </c>
      <c r="C41" s="53" t="s">
        <v>77</v>
      </c>
      <c r="D41" s="54" t="s">
        <v>80</v>
      </c>
      <c r="E41" s="40" t="s">
        <v>77</v>
      </c>
      <c r="F41" s="3" t="s">
        <v>80</v>
      </c>
      <c r="I41" s="47">
        <v>40</v>
      </c>
      <c r="J41" s="47">
        <v>15</v>
      </c>
      <c r="K41" s="47">
        <v>14</v>
      </c>
      <c r="L41" s="47">
        <v>15</v>
      </c>
      <c r="M41" s="40">
        <v>188</v>
      </c>
      <c r="N41" s="3">
        <v>121</v>
      </c>
      <c r="O41" s="3">
        <v>154</v>
      </c>
      <c r="P41" s="46">
        <f t="shared" si="0"/>
        <v>18.634</v>
      </c>
      <c r="Q41" s="49"/>
    </row>
    <row r="42" spans="1:139" s="57" customFormat="1">
      <c r="A42" s="52">
        <v>818</v>
      </c>
      <c r="B42" s="47" t="s">
        <v>17</v>
      </c>
      <c r="C42" s="40" t="s">
        <v>36</v>
      </c>
      <c r="D42" s="3"/>
      <c r="E42" s="53" t="s">
        <v>74</v>
      </c>
      <c r="F42" s="54"/>
      <c r="G42" s="54"/>
      <c r="H42" s="55"/>
      <c r="I42" s="48">
        <v>40</v>
      </c>
      <c r="J42" s="48">
        <v>13</v>
      </c>
      <c r="K42" s="48">
        <v>14</v>
      </c>
      <c r="L42" s="48">
        <v>15</v>
      </c>
      <c r="M42" s="53">
        <v>217</v>
      </c>
      <c r="N42" s="54">
        <v>123</v>
      </c>
      <c r="O42" s="54">
        <v>147</v>
      </c>
      <c r="P42" s="56">
        <f t="shared" si="0"/>
        <v>18.081</v>
      </c>
      <c r="Q42" s="49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</row>
    <row r="43" spans="1:139">
      <c r="A43" s="49">
        <v>94</v>
      </c>
      <c r="B43" s="48" t="s">
        <v>48</v>
      </c>
      <c r="C43" s="53" t="s">
        <v>72</v>
      </c>
      <c r="D43" s="54" t="s">
        <v>80</v>
      </c>
      <c r="E43" s="40" t="s">
        <v>72</v>
      </c>
      <c r="F43" s="3" t="s">
        <v>37</v>
      </c>
      <c r="I43" s="47">
        <v>45</v>
      </c>
      <c r="J43" s="47">
        <v>12</v>
      </c>
      <c r="K43" s="47">
        <v>15</v>
      </c>
      <c r="L43" s="47">
        <v>12</v>
      </c>
      <c r="M43" s="40">
        <v>223</v>
      </c>
      <c r="N43" s="3">
        <v>134</v>
      </c>
      <c r="O43" s="3">
        <v>136</v>
      </c>
      <c r="P43" s="46">
        <f t="shared" si="0"/>
        <v>18.224</v>
      </c>
      <c r="Q43" s="49"/>
    </row>
    <row r="44" spans="1:139" s="57" customFormat="1">
      <c r="A44" s="52">
        <v>12</v>
      </c>
      <c r="B44" s="47" t="s">
        <v>34</v>
      </c>
      <c r="C44" s="40" t="s">
        <v>46</v>
      </c>
      <c r="D44" s="3" t="s">
        <v>96</v>
      </c>
      <c r="E44" s="53" t="s">
        <v>46</v>
      </c>
      <c r="F44" s="54" t="s">
        <v>47</v>
      </c>
      <c r="G44" s="54"/>
      <c r="H44" s="55"/>
      <c r="I44" s="48">
        <v>40</v>
      </c>
      <c r="J44" s="48">
        <v>15</v>
      </c>
      <c r="K44" s="48">
        <v>14</v>
      </c>
      <c r="L44" s="48">
        <v>14</v>
      </c>
      <c r="M44" s="53">
        <v>143</v>
      </c>
      <c r="N44" s="54">
        <v>119</v>
      </c>
      <c r="O44" s="54">
        <v>133</v>
      </c>
      <c r="P44" s="56">
        <f t="shared" si="0"/>
        <v>15.827</v>
      </c>
      <c r="Q44" s="49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</row>
    <row r="45" spans="1:139">
      <c r="A45" s="52">
        <v>302</v>
      </c>
      <c r="B45" s="48" t="s">
        <v>50</v>
      </c>
      <c r="C45" s="53" t="s">
        <v>72</v>
      </c>
      <c r="D45" s="54" t="s">
        <v>37</v>
      </c>
      <c r="E45" s="53" t="s">
        <v>72</v>
      </c>
      <c r="F45" s="54" t="s">
        <v>37</v>
      </c>
      <c r="G45" s="54"/>
      <c r="H45" s="55"/>
      <c r="I45" s="48">
        <v>40</v>
      </c>
      <c r="J45" s="48">
        <v>13</v>
      </c>
      <c r="K45" s="48">
        <v>12</v>
      </c>
      <c r="L45" s="48">
        <v>13</v>
      </c>
      <c r="M45" s="53">
        <v>121</v>
      </c>
      <c r="N45" s="54">
        <v>116</v>
      </c>
      <c r="O45" s="54">
        <v>118</v>
      </c>
      <c r="P45" s="56">
        <f t="shared" si="0"/>
        <v>13.688000000000001</v>
      </c>
    </row>
    <row r="46" spans="1:139">
      <c r="A46" s="57">
        <v>65</v>
      </c>
      <c r="B46" s="48" t="s">
        <v>144</v>
      </c>
      <c r="C46" s="53" t="s">
        <v>47</v>
      </c>
      <c r="D46" s="55" t="s">
        <v>123</v>
      </c>
      <c r="E46" s="98" t="s">
        <v>47</v>
      </c>
      <c r="F46" s="98" t="s">
        <v>70</v>
      </c>
      <c r="G46" s="98"/>
      <c r="H46" s="77"/>
      <c r="I46" s="48">
        <v>40</v>
      </c>
      <c r="J46" s="48">
        <v>14</v>
      </c>
      <c r="K46" s="48">
        <v>15</v>
      </c>
      <c r="L46" s="48">
        <v>15</v>
      </c>
      <c r="M46" s="69">
        <v>225</v>
      </c>
      <c r="N46" s="98">
        <v>144</v>
      </c>
      <c r="O46" s="98">
        <v>127</v>
      </c>
      <c r="P46" s="99">
        <f t="shared" si="0"/>
        <v>18.288</v>
      </c>
    </row>
    <row r="47" spans="1:139">
      <c r="A47" s="97">
        <v>884</v>
      </c>
      <c r="B47" s="48" t="s">
        <v>160</v>
      </c>
      <c r="C47" s="53" t="s">
        <v>161</v>
      </c>
      <c r="D47" s="54" t="s">
        <v>162</v>
      </c>
      <c r="E47" s="53" t="s">
        <v>162</v>
      </c>
      <c r="F47" s="54" t="s">
        <v>161</v>
      </c>
      <c r="G47" s="54" t="s">
        <v>163</v>
      </c>
      <c r="H47" s="55"/>
      <c r="I47" s="48">
        <v>40</v>
      </c>
      <c r="J47" s="48">
        <v>15</v>
      </c>
      <c r="K47" s="48">
        <v>15</v>
      </c>
      <c r="L47" s="48">
        <v>15</v>
      </c>
      <c r="M47" s="54">
        <v>201</v>
      </c>
      <c r="N47" s="54">
        <v>158</v>
      </c>
      <c r="O47" s="55">
        <v>147</v>
      </c>
      <c r="P47" s="74">
        <f t="shared" si="0"/>
        <v>23.225999999999999</v>
      </c>
    </row>
    <row r="48" spans="1:139">
      <c r="A48" s="97">
        <v>763</v>
      </c>
      <c r="B48" s="48" t="s">
        <v>170</v>
      </c>
      <c r="C48" s="53" t="s">
        <v>35</v>
      </c>
      <c r="D48" s="55" t="s">
        <v>123</v>
      </c>
      <c r="E48" s="53" t="s">
        <v>35</v>
      </c>
      <c r="F48" s="54" t="s">
        <v>99</v>
      </c>
      <c r="G48" s="54"/>
      <c r="H48" s="55"/>
      <c r="I48" s="48">
        <v>40</v>
      </c>
      <c r="J48" s="48">
        <v>15</v>
      </c>
      <c r="K48" s="48">
        <v>15</v>
      </c>
      <c r="L48" s="48">
        <v>15</v>
      </c>
      <c r="M48" s="54">
        <v>187</v>
      </c>
      <c r="N48" s="54">
        <v>166</v>
      </c>
      <c r="O48" s="55">
        <v>150</v>
      </c>
      <c r="P48" s="74">
        <f t="shared" si="0"/>
        <v>24.9</v>
      </c>
    </row>
    <row r="49" spans="1:16">
      <c r="A49" s="97">
        <v>282</v>
      </c>
      <c r="B49" s="48" t="s">
        <v>171</v>
      </c>
      <c r="C49" s="53" t="s">
        <v>47</v>
      </c>
      <c r="D49" s="55" t="s">
        <v>99</v>
      </c>
      <c r="E49" s="53" t="s">
        <v>99</v>
      </c>
      <c r="F49" s="54" t="s">
        <v>47</v>
      </c>
      <c r="G49" s="54" t="s">
        <v>35</v>
      </c>
      <c r="H49" s="55" t="s">
        <v>77</v>
      </c>
      <c r="I49" s="48">
        <v>40</v>
      </c>
      <c r="J49" s="48">
        <v>15</v>
      </c>
      <c r="K49" s="48">
        <v>15</v>
      </c>
      <c r="L49" s="48">
        <v>15</v>
      </c>
      <c r="M49" s="54">
        <v>199</v>
      </c>
      <c r="N49" s="54">
        <v>166</v>
      </c>
      <c r="O49" s="55">
        <v>145</v>
      </c>
      <c r="P49" s="74">
        <f t="shared" si="0"/>
        <v>24.07</v>
      </c>
    </row>
    <row r="50" spans="1:16">
      <c r="A50" s="97">
        <v>133</v>
      </c>
      <c r="B50" s="48" t="s">
        <v>174</v>
      </c>
      <c r="C50" s="53" t="s">
        <v>74</v>
      </c>
      <c r="D50" s="55" t="s">
        <v>123</v>
      </c>
      <c r="E50" s="53" t="s">
        <v>74</v>
      </c>
      <c r="F50" s="54"/>
      <c r="G50" s="54"/>
      <c r="H50" s="55"/>
      <c r="I50" s="48">
        <v>40</v>
      </c>
      <c r="J50" s="48">
        <v>15</v>
      </c>
      <c r="K50" s="48">
        <v>15</v>
      </c>
      <c r="L50" s="48">
        <v>15</v>
      </c>
      <c r="M50" s="54">
        <v>94</v>
      </c>
      <c r="N50" s="54">
        <v>102</v>
      </c>
      <c r="O50" s="55">
        <v>127</v>
      </c>
      <c r="P50" s="74">
        <f t="shared" si="0"/>
        <v>12.954000000000001</v>
      </c>
    </row>
    <row r="51" spans="1:16">
      <c r="A51" s="97">
        <v>134</v>
      </c>
      <c r="B51" s="48" t="s">
        <v>177</v>
      </c>
      <c r="C51" s="53" t="s">
        <v>36</v>
      </c>
      <c r="D51" s="55" t="s">
        <v>123</v>
      </c>
      <c r="E51" s="53" t="s">
        <v>36</v>
      </c>
      <c r="F51" s="54"/>
      <c r="G51" s="54"/>
      <c r="H51" s="55"/>
      <c r="I51" s="48">
        <v>40</v>
      </c>
      <c r="J51" s="48">
        <v>15</v>
      </c>
      <c r="K51" s="48">
        <v>15</v>
      </c>
      <c r="L51" s="48">
        <v>15</v>
      </c>
      <c r="M51" s="54">
        <v>174</v>
      </c>
      <c r="N51" s="54">
        <v>139</v>
      </c>
      <c r="O51" s="55">
        <v>230</v>
      </c>
      <c r="P51" s="74">
        <f t="shared" si="0"/>
        <v>31.97</v>
      </c>
    </row>
    <row r="52" spans="1:16">
      <c r="A52" s="97">
        <v>135</v>
      </c>
      <c r="B52" s="48" t="s">
        <v>180</v>
      </c>
      <c r="C52" s="53" t="s">
        <v>77</v>
      </c>
      <c r="D52" s="55" t="s">
        <v>123</v>
      </c>
      <c r="E52" s="53" t="s">
        <v>77</v>
      </c>
      <c r="F52" s="54"/>
      <c r="G52" s="54"/>
      <c r="H52" s="55"/>
      <c r="I52" s="48">
        <v>40</v>
      </c>
      <c r="J52" s="48">
        <v>15</v>
      </c>
      <c r="K52" s="48">
        <v>15</v>
      </c>
      <c r="L52" s="48">
        <v>15</v>
      </c>
      <c r="M52" s="54">
        <v>195</v>
      </c>
      <c r="N52" s="54">
        <v>156</v>
      </c>
      <c r="O52" s="55">
        <v>140</v>
      </c>
      <c r="P52" s="74">
        <f t="shared" si="0"/>
        <v>21.84</v>
      </c>
    </row>
    <row r="53" spans="1:16">
      <c r="A53" s="97">
        <v>136</v>
      </c>
      <c r="B53" s="48" t="s">
        <v>182</v>
      </c>
      <c r="C53" s="53" t="s">
        <v>42</v>
      </c>
      <c r="D53" s="55" t="s">
        <v>123</v>
      </c>
      <c r="E53" s="53" t="s">
        <v>42</v>
      </c>
      <c r="F53" s="54"/>
      <c r="G53" s="54"/>
      <c r="H53" s="55"/>
      <c r="I53" s="48">
        <v>40</v>
      </c>
      <c r="J53" s="48">
        <v>15</v>
      </c>
      <c r="K53" s="48">
        <v>15</v>
      </c>
      <c r="L53" s="48">
        <v>15</v>
      </c>
      <c r="M53" s="54">
        <v>206</v>
      </c>
      <c r="N53" s="54">
        <v>153</v>
      </c>
      <c r="O53" s="55">
        <v>140</v>
      </c>
      <c r="P53" s="74">
        <f t="shared" si="0"/>
        <v>21.42</v>
      </c>
    </row>
    <row r="54" spans="1:16">
      <c r="A54" s="97">
        <v>196</v>
      </c>
      <c r="B54" s="48" t="s">
        <v>186</v>
      </c>
      <c r="C54" s="53" t="s">
        <v>47</v>
      </c>
      <c r="D54" s="55" t="s">
        <v>123</v>
      </c>
      <c r="E54" s="53" t="s">
        <v>47</v>
      </c>
      <c r="F54" s="54"/>
      <c r="G54" s="54"/>
      <c r="H54" s="55"/>
      <c r="I54" s="48">
        <v>40</v>
      </c>
      <c r="J54" s="48">
        <v>15</v>
      </c>
      <c r="K54" s="48">
        <v>15</v>
      </c>
      <c r="L54" s="48">
        <v>15</v>
      </c>
      <c r="M54" s="54">
        <v>218</v>
      </c>
      <c r="N54" s="54">
        <v>150</v>
      </c>
      <c r="O54" s="55">
        <v>140</v>
      </c>
      <c r="P54" s="74">
        <f t="shared" si="0"/>
        <v>21</v>
      </c>
    </row>
    <row r="55" spans="1:16">
      <c r="A55" s="97">
        <v>197</v>
      </c>
      <c r="B55" s="48" t="s">
        <v>187</v>
      </c>
      <c r="C55" s="53" t="s">
        <v>37</v>
      </c>
      <c r="D55" s="55" t="s">
        <v>123</v>
      </c>
      <c r="E55" s="53" t="s">
        <v>37</v>
      </c>
      <c r="F55" s="54"/>
      <c r="G55" s="54"/>
      <c r="H55" s="55"/>
      <c r="I55" s="48">
        <v>40</v>
      </c>
      <c r="J55" s="48">
        <v>15</v>
      </c>
      <c r="K55" s="48">
        <v>15</v>
      </c>
      <c r="L55" s="48">
        <v>15</v>
      </c>
      <c r="M55" s="54">
        <v>111</v>
      </c>
      <c r="N55" s="54">
        <v>202</v>
      </c>
      <c r="O55" s="55">
        <v>182</v>
      </c>
      <c r="P55" s="74">
        <f t="shared" si="0"/>
        <v>36.764000000000003</v>
      </c>
    </row>
    <row r="56" spans="1:16">
      <c r="A56" s="97">
        <v>470</v>
      </c>
      <c r="B56" s="48" t="s">
        <v>189</v>
      </c>
      <c r="C56" s="53" t="s">
        <v>35</v>
      </c>
      <c r="D56" s="55" t="s">
        <v>123</v>
      </c>
      <c r="E56" s="53" t="s">
        <v>35</v>
      </c>
      <c r="F56" s="54"/>
      <c r="G56" s="54"/>
      <c r="H56" s="55"/>
      <c r="I56" s="48">
        <v>40</v>
      </c>
      <c r="J56" s="48">
        <v>15</v>
      </c>
      <c r="K56" s="48">
        <v>15</v>
      </c>
      <c r="L56" s="48">
        <v>15</v>
      </c>
      <c r="M56" s="54">
        <v>183</v>
      </c>
      <c r="N56" s="54">
        <v>185</v>
      </c>
      <c r="O56" s="55">
        <v>140</v>
      </c>
      <c r="P56" s="74">
        <f t="shared" si="0"/>
        <v>25.9</v>
      </c>
    </row>
    <row r="57" spans="1:16">
      <c r="A57" s="97">
        <v>471</v>
      </c>
      <c r="B57" s="48" t="s">
        <v>191</v>
      </c>
      <c r="C57" s="53" t="s">
        <v>76</v>
      </c>
      <c r="D57" s="55" t="s">
        <v>123</v>
      </c>
      <c r="E57" s="53" t="s">
        <v>76</v>
      </c>
      <c r="F57" s="54"/>
      <c r="G57" s="54"/>
      <c r="H57" s="55"/>
      <c r="I57" s="48">
        <v>40</v>
      </c>
      <c r="J57" s="48">
        <v>15</v>
      </c>
      <c r="K57" s="48">
        <v>15</v>
      </c>
      <c r="L57" s="48">
        <v>15</v>
      </c>
      <c r="M57" s="54">
        <v>200</v>
      </c>
      <c r="N57" s="54">
        <v>174</v>
      </c>
      <c r="O57" s="55">
        <v>140</v>
      </c>
      <c r="P57" s="74">
        <f t="shared" si="0"/>
        <v>24.36</v>
      </c>
    </row>
    <row r="58" spans="1:16">
      <c r="A58" s="97">
        <v>700</v>
      </c>
      <c r="B58" s="48" t="s">
        <v>193</v>
      </c>
      <c r="C58" s="53" t="s">
        <v>99</v>
      </c>
      <c r="D58" s="55" t="s">
        <v>123</v>
      </c>
      <c r="E58" s="53" t="s">
        <v>99</v>
      </c>
      <c r="F58" s="54"/>
      <c r="G58" s="54"/>
      <c r="H58" s="55"/>
      <c r="I58" s="48">
        <v>40</v>
      </c>
      <c r="J58" s="48">
        <v>15</v>
      </c>
      <c r="K58" s="48">
        <v>15</v>
      </c>
      <c r="L58" s="48">
        <v>15</v>
      </c>
      <c r="M58" s="54">
        <v>172</v>
      </c>
      <c r="N58" s="54">
        <v>173</v>
      </c>
      <c r="O58" s="55">
        <v>182</v>
      </c>
      <c r="P58" s="74">
        <f t="shared" si="0"/>
        <v>31.486000000000001</v>
      </c>
    </row>
    <row r="59" spans="1:16">
      <c r="A59" s="97">
        <v>475</v>
      </c>
      <c r="B59" s="48" t="s">
        <v>195</v>
      </c>
      <c r="C59" s="53" t="s">
        <v>47</v>
      </c>
      <c r="D59" s="55" t="s">
        <v>70</v>
      </c>
      <c r="E59" s="53" t="s">
        <v>47</v>
      </c>
      <c r="F59" s="54" t="s">
        <v>70</v>
      </c>
      <c r="G59" s="54" t="s">
        <v>99</v>
      </c>
      <c r="H59" s="55"/>
      <c r="I59" s="48">
        <v>40</v>
      </c>
      <c r="J59" s="48">
        <v>15</v>
      </c>
      <c r="K59" s="48">
        <v>15</v>
      </c>
      <c r="L59" s="48">
        <v>15</v>
      </c>
      <c r="M59" s="54">
        <v>199</v>
      </c>
      <c r="N59" s="54">
        <v>166</v>
      </c>
      <c r="O59" s="55">
        <v>145</v>
      </c>
      <c r="P59" s="74">
        <f t="shared" si="0"/>
        <v>24.07</v>
      </c>
    </row>
    <row r="60" spans="1:16">
      <c r="A60" s="97">
        <v>687</v>
      </c>
      <c r="B60" s="48" t="s">
        <v>197</v>
      </c>
      <c r="C60" s="53" t="s">
        <v>37</v>
      </c>
      <c r="D60" s="55" t="s">
        <v>47</v>
      </c>
      <c r="E60" s="53" t="s">
        <v>47</v>
      </c>
      <c r="F60" s="54" t="s">
        <v>43</v>
      </c>
      <c r="G60" s="54"/>
      <c r="H60" s="55"/>
      <c r="I60" s="48">
        <v>40</v>
      </c>
      <c r="J60" s="48">
        <v>15</v>
      </c>
      <c r="K60" s="48">
        <v>15</v>
      </c>
      <c r="L60" s="48">
        <v>15</v>
      </c>
      <c r="M60" s="54">
        <v>151</v>
      </c>
      <c r="N60" s="54">
        <v>142</v>
      </c>
      <c r="O60" s="55">
        <v>169</v>
      </c>
      <c r="P60" s="74">
        <f t="shared" si="0"/>
        <v>23.998000000000001</v>
      </c>
    </row>
    <row r="61" spans="1:16">
      <c r="A61" s="97">
        <v>528</v>
      </c>
      <c r="B61" s="48" t="s">
        <v>198</v>
      </c>
      <c r="C61" s="53" t="s">
        <v>47</v>
      </c>
      <c r="D61" s="55" t="s">
        <v>43</v>
      </c>
      <c r="E61" s="53" t="s">
        <v>47</v>
      </c>
      <c r="F61" s="54" t="s">
        <v>43</v>
      </c>
      <c r="G61" s="54"/>
      <c r="H61" s="55"/>
      <c r="I61" s="48">
        <v>40</v>
      </c>
      <c r="J61" s="48">
        <v>15</v>
      </c>
      <c r="K61" s="48">
        <v>15</v>
      </c>
      <c r="L61" s="48">
        <v>15</v>
      </c>
      <c r="M61" s="54">
        <v>139</v>
      </c>
      <c r="N61" s="54">
        <v>106</v>
      </c>
      <c r="O61" s="55">
        <v>143</v>
      </c>
      <c r="P61" s="74">
        <f t="shared" si="0"/>
        <v>15.157999999999999</v>
      </c>
    </row>
    <row r="62" spans="1:16">
      <c r="A62" s="97">
        <v>569</v>
      </c>
      <c r="B62" s="48" t="s">
        <v>199</v>
      </c>
      <c r="C62" s="53" t="s">
        <v>80</v>
      </c>
      <c r="D62" s="55" t="s">
        <v>123</v>
      </c>
      <c r="E62" s="53" t="s">
        <v>80</v>
      </c>
      <c r="F62" s="54"/>
      <c r="G62" s="54"/>
      <c r="H62" s="55"/>
      <c r="I62" s="48">
        <v>40</v>
      </c>
      <c r="J62" s="48">
        <v>15</v>
      </c>
      <c r="K62" s="48">
        <v>13</v>
      </c>
      <c r="L62" s="48">
        <v>13</v>
      </c>
      <c r="M62" s="54">
        <v>155</v>
      </c>
      <c r="N62" s="54">
        <v>140</v>
      </c>
      <c r="O62" s="55">
        <v>160</v>
      </c>
      <c r="P62" s="74">
        <f t="shared" si="0"/>
        <v>22.4</v>
      </c>
    </row>
    <row r="63" spans="1:16">
      <c r="A63" s="97">
        <v>249</v>
      </c>
      <c r="B63" s="48" t="s">
        <v>202</v>
      </c>
      <c r="C63" s="53" t="s">
        <v>47</v>
      </c>
      <c r="D63" s="55" t="s">
        <v>43</v>
      </c>
      <c r="E63" s="53" t="s">
        <v>47</v>
      </c>
      <c r="F63" s="54" t="s">
        <v>44</v>
      </c>
      <c r="G63" s="54"/>
      <c r="H63" s="55"/>
      <c r="I63" s="48">
        <v>40</v>
      </c>
      <c r="J63" s="48">
        <v>12</v>
      </c>
      <c r="K63" s="48">
        <v>14</v>
      </c>
      <c r="L63" s="48">
        <v>15</v>
      </c>
      <c r="M63" s="54">
        <v>164</v>
      </c>
      <c r="N63" s="54">
        <v>257</v>
      </c>
      <c r="O63" s="55">
        <v>197</v>
      </c>
      <c r="P63" s="74">
        <f t="shared" si="0"/>
        <v>50.628999999999998</v>
      </c>
    </row>
    <row r="64" spans="1:16">
      <c r="B64" s="3"/>
      <c r="C64" s="3"/>
      <c r="H64" s="3"/>
      <c r="M64" s="3"/>
      <c r="P64" s="3"/>
    </row>
    <row r="65" spans="2:16">
      <c r="B65" s="3"/>
      <c r="C65" s="3"/>
      <c r="H65" s="3"/>
      <c r="M65" s="3"/>
      <c r="P65" s="3"/>
    </row>
    <row r="66" spans="2:16">
      <c r="B66" s="3"/>
      <c r="C66" s="3"/>
      <c r="H66" s="3"/>
      <c r="M66" s="3"/>
      <c r="P66" s="3"/>
    </row>
    <row r="67" spans="2:16">
      <c r="B67" s="3"/>
      <c r="C67" s="3"/>
      <c r="H67" s="3"/>
      <c r="M67" s="3"/>
      <c r="P67" s="3"/>
    </row>
    <row r="68" spans="2:16">
      <c r="B68" s="3"/>
      <c r="C68" s="3"/>
      <c r="H68" s="3"/>
      <c r="M68" s="3"/>
      <c r="P68" s="3"/>
    </row>
    <row r="69" spans="2:16">
      <c r="B69" s="3"/>
      <c r="C69" s="3"/>
      <c r="H69" s="3"/>
      <c r="M69" s="3"/>
      <c r="P69" s="3"/>
    </row>
    <row r="70" spans="2:16">
      <c r="B70" s="3"/>
      <c r="C70" s="3"/>
      <c r="H70" s="3"/>
      <c r="M70" s="3"/>
      <c r="P70" s="3"/>
    </row>
    <row r="71" spans="2:16">
      <c r="B71" s="3"/>
      <c r="C71" s="3"/>
      <c r="H71" s="3"/>
      <c r="M71" s="3"/>
      <c r="P71" s="3"/>
    </row>
    <row r="72" spans="2:16">
      <c r="B72" s="3"/>
      <c r="C72" s="3"/>
      <c r="H72" s="3"/>
      <c r="M72" s="3"/>
      <c r="P72" s="3"/>
    </row>
    <row r="73" spans="2:16">
      <c r="B73" s="3"/>
      <c r="C73" s="3"/>
      <c r="H73" s="3"/>
      <c r="M73" s="3"/>
      <c r="P73" s="3"/>
    </row>
    <row r="74" spans="2:16">
      <c r="B74" s="3"/>
      <c r="C74" s="3"/>
      <c r="H74" s="3"/>
      <c r="M74" s="3"/>
      <c r="P74" s="3"/>
    </row>
    <row r="75" spans="2:16">
      <c r="B75" s="3"/>
      <c r="C75" s="3"/>
      <c r="H75" s="3"/>
      <c r="M75" s="3"/>
      <c r="P75" s="3"/>
    </row>
    <row r="76" spans="2:16">
      <c r="B76" s="3"/>
      <c r="C76" s="3"/>
      <c r="H76" s="3"/>
      <c r="M76" s="3"/>
      <c r="P76" s="3"/>
    </row>
    <row r="77" spans="2:16">
      <c r="B77" s="3"/>
      <c r="C77" s="3"/>
      <c r="H77" s="3"/>
      <c r="M77" s="3"/>
      <c r="P77" s="3"/>
    </row>
    <row r="78" spans="2:16">
      <c r="B78" s="3"/>
      <c r="C78" s="3"/>
      <c r="H78" s="3"/>
      <c r="M78" s="3"/>
      <c r="P78" s="3"/>
    </row>
    <row r="79" spans="2:16">
      <c r="B79" s="3"/>
      <c r="C79" s="3"/>
      <c r="H79" s="3"/>
      <c r="M79" s="3"/>
      <c r="P79" s="3"/>
    </row>
    <row r="80" spans="2:16">
      <c r="B80" s="3"/>
      <c r="C80" s="3"/>
      <c r="H80" s="3"/>
      <c r="M80" s="3"/>
      <c r="P80" s="3"/>
    </row>
    <row r="81" spans="2:16">
      <c r="B81" s="3"/>
      <c r="C81" s="3"/>
      <c r="H81" s="3"/>
      <c r="M81" s="3"/>
      <c r="P81" s="3"/>
    </row>
    <row r="82" spans="2:16">
      <c r="B82" s="3"/>
      <c r="C82" s="3"/>
      <c r="H82" s="3"/>
      <c r="M82" s="3"/>
      <c r="P82" s="3"/>
    </row>
    <row r="83" spans="2:16">
      <c r="B83" s="45"/>
      <c r="H83" s="3"/>
      <c r="M83" s="3"/>
      <c r="P83" s="3"/>
    </row>
    <row r="84" spans="2:16">
      <c r="E84" s="40"/>
    </row>
    <row r="85" spans="2:16">
      <c r="E85" s="40"/>
    </row>
    <row r="86" spans="2:16">
      <c r="E86" s="40"/>
    </row>
    <row r="87" spans="2:16">
      <c r="E87" s="40"/>
    </row>
    <row r="88" spans="2:16">
      <c r="E88" s="40"/>
    </row>
  </sheetData>
  <sortState xmlns:xlrd2="http://schemas.microsoft.com/office/spreadsheetml/2017/richdata2" ref="A1:P45">
    <sortCondition descending="1" ref="P1:P52"/>
  </sortState>
  <mergeCells count="2">
    <mergeCell ref="C1:D1"/>
    <mergeCell ref="E1:H1"/>
  </mergeCells>
  <phoneticPr fontId="1" type="noConversion"/>
  <hyperlinks>
    <hyperlink ref="R1" r:id="rId1" display="https://pokemon.gameinfo.io/zh-tw/tools/cp-calculator" xr:uid="{3A388B83-073A-4721-A2B6-9EB1344212FD}"/>
    <hyperlink ref="S1" r:id="rId2" xr:uid="{9A1D21E4-4F2E-4E61-83DC-44C4ACAA7505}"/>
  </hyperlinks>
  <pageMargins left="0.7" right="0.7" top="0.75" bottom="0.75" header="0.3" footer="0.3"/>
  <ignoredErrors>
    <ignoredError sqref="P3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47450-E9AD-40C1-B58F-3D0C5E996E91}">
  <dimension ref="A1:AS26"/>
  <sheetViews>
    <sheetView zoomScale="85" zoomScaleNormal="85" workbookViewId="0">
      <selection activeCell="V18" sqref="V18:V19"/>
    </sheetView>
  </sheetViews>
  <sheetFormatPr defaultColWidth="8.77734375" defaultRowHeight="16.2"/>
  <cols>
    <col min="1" max="1" width="10" style="3" bestFit="1" customWidth="1"/>
    <col min="2" max="20" width="6.21875" style="3" customWidth="1"/>
    <col min="21" max="22" width="8.77734375" style="3"/>
    <col min="23" max="23" width="9.44140625" style="3" bestFit="1" customWidth="1"/>
    <col min="24" max="24" width="15.44140625" style="3" bestFit="1" customWidth="1"/>
    <col min="25" max="25" width="10" style="3" bestFit="1" customWidth="1"/>
    <col min="26" max="42" width="8.77734375" style="3"/>
    <col min="43" max="43" width="15.44140625" style="3" bestFit="1" customWidth="1"/>
    <col min="44" max="16384" width="8.77734375" style="3"/>
  </cols>
  <sheetData>
    <row r="1" spans="1:45" ht="16.95" customHeight="1">
      <c r="A1" s="48" t="s">
        <v>121</v>
      </c>
      <c r="B1" s="48" t="s">
        <v>74</v>
      </c>
      <c r="C1" s="48" t="s">
        <v>42</v>
      </c>
      <c r="D1" s="48" t="s">
        <v>70</v>
      </c>
      <c r="E1" s="48" t="s">
        <v>36</v>
      </c>
      <c r="F1" s="48" t="s">
        <v>43</v>
      </c>
      <c r="G1" s="48" t="s">
        <v>35</v>
      </c>
      <c r="H1" s="48" t="s">
        <v>80</v>
      </c>
      <c r="I1" s="48" t="s">
        <v>77</v>
      </c>
      <c r="J1" s="48" t="s">
        <v>75</v>
      </c>
      <c r="K1" s="48" t="s">
        <v>47</v>
      </c>
      <c r="L1" s="48" t="s">
        <v>39</v>
      </c>
      <c r="M1" s="48" t="s">
        <v>76</v>
      </c>
      <c r="N1" s="48" t="s">
        <v>46</v>
      </c>
      <c r="O1" s="48" t="s">
        <v>45</v>
      </c>
      <c r="P1" s="48" t="s">
        <v>72</v>
      </c>
      <c r="Q1" s="48" t="s">
        <v>37</v>
      </c>
      <c r="R1" s="48" t="s">
        <v>71</v>
      </c>
      <c r="S1" s="53" t="s">
        <v>99</v>
      </c>
      <c r="T1" s="48" t="s">
        <v>123</v>
      </c>
      <c r="V1" s="48" t="s">
        <v>97</v>
      </c>
      <c r="W1" s="48" t="s">
        <v>96</v>
      </c>
      <c r="X1" s="48" t="s">
        <v>124</v>
      </c>
      <c r="Y1" s="48" t="s">
        <v>158</v>
      </c>
    </row>
    <row r="2" spans="1:45" ht="16.95" customHeight="1">
      <c r="A2" s="48" t="s">
        <v>74</v>
      </c>
      <c r="B2" s="48">
        <v>1</v>
      </c>
      <c r="C2" s="48">
        <v>1</v>
      </c>
      <c r="D2" s="48">
        <v>1</v>
      </c>
      <c r="E2" s="48">
        <v>1</v>
      </c>
      <c r="F2" s="48">
        <v>1</v>
      </c>
      <c r="G2" s="48">
        <v>1</v>
      </c>
      <c r="H2" s="48">
        <v>1</v>
      </c>
      <c r="I2" s="48">
        <v>1</v>
      </c>
      <c r="J2" s="48">
        <v>1</v>
      </c>
      <c r="K2" s="48">
        <v>1</v>
      </c>
      <c r="L2" s="59">
        <v>0.625</v>
      </c>
      <c r="M2" s="48">
        <v>1</v>
      </c>
      <c r="N2" s="48">
        <v>1</v>
      </c>
      <c r="O2" s="48">
        <v>1</v>
      </c>
      <c r="P2" s="61">
        <v>0.39100000000000001</v>
      </c>
      <c r="Q2" s="48">
        <v>1</v>
      </c>
      <c r="R2" s="59">
        <v>0.625</v>
      </c>
      <c r="S2" s="53">
        <v>1</v>
      </c>
      <c r="T2" s="48">
        <v>1</v>
      </c>
      <c r="V2" s="42" t="str" cm="1">
        <f t="array" ref="V2:Y19">_xlfn.SORTBY(AO$2:AR$19, AR$2:AR$19, -1)</f>
        <v>幽靈</v>
      </c>
      <c r="W2" s="39">
        <v>1.6</v>
      </c>
      <c r="X2" s="39" t="str">
        <v>奈克洛茲瑪</v>
      </c>
      <c r="Y2" s="95">
        <v>35.456000000000003</v>
      </c>
      <c r="Z2" s="40"/>
      <c r="AC2" s="3" t="s">
        <v>119</v>
      </c>
      <c r="AD2" s="3" t="s">
        <v>117</v>
      </c>
      <c r="AE2" s="3" t="s">
        <v>118</v>
      </c>
      <c r="AF2" s="3" t="s">
        <v>120</v>
      </c>
      <c r="AO2" s="3" t="s">
        <v>74</v>
      </c>
      <c r="AP2" s="62">
        <f t="shared" ref="AP2:AP4" si="0">INDEX($B$2:$T$20, MATCH(A2, $A$2:$A$20, 0), MATCH($V$1, $B$1:$T$1, 0))*INDEX($B$2:$T$20, MATCH(A2, $A$2:$A$20, 0), MATCH($W$1, $B$1:$T$1, 0))</f>
        <v>1</v>
      </c>
      <c r="AQ2" s="4" t="s">
        <v>145</v>
      </c>
      <c r="AR2" s="94">
        <f t="shared" ref="AR2:AR19" si="1">AS2*AP2</f>
        <v>22.5</v>
      </c>
      <c r="AS2" s="3">
        <v>22.5</v>
      </c>
    </row>
    <row r="3" spans="1:45" ht="16.95" customHeight="1">
      <c r="A3" s="48" t="s">
        <v>42</v>
      </c>
      <c r="B3" s="48">
        <v>1</v>
      </c>
      <c r="C3" s="59">
        <v>0.625</v>
      </c>
      <c r="D3" s="48">
        <v>1</v>
      </c>
      <c r="E3" s="59">
        <v>0.625</v>
      </c>
      <c r="F3" s="48">
        <v>1</v>
      </c>
      <c r="G3" s="60">
        <v>1.6</v>
      </c>
      <c r="H3" s="48">
        <v>1</v>
      </c>
      <c r="I3" s="48">
        <v>1</v>
      </c>
      <c r="J3" s="48">
        <v>1</v>
      </c>
      <c r="K3" s="48">
        <v>1</v>
      </c>
      <c r="L3" s="59">
        <v>0.625</v>
      </c>
      <c r="M3" s="60">
        <v>1.6</v>
      </c>
      <c r="N3" s="60">
        <v>1.6</v>
      </c>
      <c r="O3" s="59">
        <v>0.625</v>
      </c>
      <c r="P3" s="48">
        <v>1</v>
      </c>
      <c r="Q3" s="48">
        <v>1</v>
      </c>
      <c r="R3" s="60">
        <v>1.6</v>
      </c>
      <c r="S3" s="53">
        <v>1</v>
      </c>
      <c r="T3" s="48">
        <v>1</v>
      </c>
      <c r="V3" s="40" t="str">
        <v>冰</v>
      </c>
      <c r="W3" s="3">
        <v>1.6</v>
      </c>
      <c r="X3" s="3" t="str">
        <v>焰白酋雷姆</v>
      </c>
      <c r="Y3" s="94">
        <v>30.751999999999999</v>
      </c>
      <c r="Z3" s="40"/>
      <c r="AC3" s="3" t="s">
        <v>73</v>
      </c>
      <c r="AD3" s="3" t="s">
        <v>178</v>
      </c>
      <c r="AE3" s="3" t="s">
        <v>44</v>
      </c>
      <c r="AF3" s="62">
        <f>INDEX($B$2:$T$20, MATCH(AC3, $A$2:$A$20, 0), MATCH(AD3, $B$1:$T$1, 0))*INDEX($B$2:$T$20, MATCH(AC3, $A$2:$A$20, 0), MATCH(AE3, $B$1:$T$1, 0))</f>
        <v>1</v>
      </c>
      <c r="AO3" s="3" t="s">
        <v>42</v>
      </c>
      <c r="AP3" s="62">
        <f t="shared" si="0"/>
        <v>1</v>
      </c>
      <c r="AQ3" s="3" t="s">
        <v>156</v>
      </c>
      <c r="AR3" s="94">
        <f t="shared" si="1"/>
        <v>19.68</v>
      </c>
      <c r="AS3" s="3">
        <v>19.68</v>
      </c>
    </row>
    <row r="4" spans="1:45" ht="16.95" customHeight="1">
      <c r="A4" s="48" t="s">
        <v>70</v>
      </c>
      <c r="B4" s="60">
        <v>1.6</v>
      </c>
      <c r="C4" s="48">
        <v>1</v>
      </c>
      <c r="D4" s="48">
        <v>1</v>
      </c>
      <c r="E4" s="48">
        <v>1</v>
      </c>
      <c r="F4" s="59">
        <v>0.625</v>
      </c>
      <c r="G4" s="48">
        <v>1</v>
      </c>
      <c r="H4" s="59">
        <v>0.625</v>
      </c>
      <c r="I4" s="48">
        <v>1</v>
      </c>
      <c r="J4" s="48">
        <v>1</v>
      </c>
      <c r="K4" s="59">
        <v>0.625</v>
      </c>
      <c r="L4" s="60">
        <v>1.6</v>
      </c>
      <c r="M4" s="60">
        <v>1.6</v>
      </c>
      <c r="N4" s="59">
        <v>0.625</v>
      </c>
      <c r="O4" s="48">
        <v>1</v>
      </c>
      <c r="P4" s="61">
        <v>0.39100000000000001</v>
      </c>
      <c r="Q4" s="60">
        <v>1.6</v>
      </c>
      <c r="R4" s="60">
        <v>1.6</v>
      </c>
      <c r="S4" s="63">
        <v>0.625</v>
      </c>
      <c r="T4" s="48">
        <v>1</v>
      </c>
      <c r="V4" s="53" t="str">
        <v>惡</v>
      </c>
      <c r="W4" s="54">
        <v>1.6</v>
      </c>
      <c r="X4" s="54" t="str">
        <v>Mega班基拉斯</v>
      </c>
      <c r="Y4" s="96">
        <v>28.608000000000001</v>
      </c>
      <c r="Z4" s="40"/>
      <c r="AO4" s="3" t="s">
        <v>70</v>
      </c>
      <c r="AP4" s="62">
        <f t="shared" si="0"/>
        <v>0.390625</v>
      </c>
      <c r="AQ4" s="3" t="s">
        <v>146</v>
      </c>
      <c r="AR4" s="94">
        <f t="shared" si="1"/>
        <v>8.76171875</v>
      </c>
      <c r="AS4" s="3">
        <v>22.43</v>
      </c>
    </row>
    <row r="5" spans="1:45" ht="16.95" customHeight="1">
      <c r="A5" s="48" t="s">
        <v>36</v>
      </c>
      <c r="B5" s="48">
        <v>1</v>
      </c>
      <c r="C5" s="60">
        <v>1.6</v>
      </c>
      <c r="D5" s="48">
        <v>1</v>
      </c>
      <c r="E5" s="59">
        <v>0.625</v>
      </c>
      <c r="F5" s="48">
        <v>1</v>
      </c>
      <c r="G5" s="59">
        <v>0.625</v>
      </c>
      <c r="H5" s="48">
        <v>1</v>
      </c>
      <c r="I5" s="48">
        <v>1</v>
      </c>
      <c r="J5" s="60">
        <v>1.6</v>
      </c>
      <c r="K5" s="48">
        <v>1</v>
      </c>
      <c r="L5" s="60">
        <v>1.6</v>
      </c>
      <c r="M5" s="48">
        <v>1</v>
      </c>
      <c r="N5" s="48">
        <v>1</v>
      </c>
      <c r="O5" s="59">
        <v>0.625</v>
      </c>
      <c r="P5" s="48">
        <v>1</v>
      </c>
      <c r="Q5" s="48">
        <v>1</v>
      </c>
      <c r="R5" s="48">
        <v>1</v>
      </c>
      <c r="S5" s="53">
        <v>1</v>
      </c>
      <c r="T5" s="48">
        <v>1</v>
      </c>
      <c r="V5" s="40" t="str">
        <v>電</v>
      </c>
      <c r="W5" s="3">
        <v>1.6</v>
      </c>
      <c r="X5" s="3" t="str">
        <v>Mega雷電獸</v>
      </c>
      <c r="Y5" s="94">
        <v>26.544</v>
      </c>
      <c r="Z5" s="40"/>
      <c r="AO5" s="3" t="s">
        <v>36</v>
      </c>
      <c r="AP5" s="62">
        <f t="shared" ref="AP5:AP19" si="2">INDEX($B$2:$T$20, MATCH(A5, $A$2:$A$20, 0), MATCH($V$1, $B$1:$T$1, 0))*INDEX($B$2:$T$20, MATCH(A5, $A$2:$A$20, 0), MATCH($W$1, $B$1:$T$1, 0))</f>
        <v>1</v>
      </c>
      <c r="AQ5" s="3" t="s">
        <v>147</v>
      </c>
      <c r="AR5" s="94">
        <f t="shared" si="1"/>
        <v>19.420000000000002</v>
      </c>
      <c r="AS5" s="3">
        <v>19.420000000000002</v>
      </c>
    </row>
    <row r="6" spans="1:45" ht="16.95" customHeight="1">
      <c r="A6" s="48" t="s">
        <v>43</v>
      </c>
      <c r="B6" s="48">
        <v>1</v>
      </c>
      <c r="C6" s="48">
        <v>1</v>
      </c>
      <c r="D6" s="60">
        <v>1.6</v>
      </c>
      <c r="E6" s="48">
        <v>1</v>
      </c>
      <c r="F6" s="48">
        <v>1</v>
      </c>
      <c r="G6" s="60">
        <v>1.6</v>
      </c>
      <c r="H6" s="48">
        <v>1</v>
      </c>
      <c r="I6" s="59">
        <v>0.625</v>
      </c>
      <c r="J6" s="48">
        <v>1</v>
      </c>
      <c r="K6" s="48">
        <v>1</v>
      </c>
      <c r="L6" s="59">
        <v>0.625</v>
      </c>
      <c r="M6" s="48">
        <v>1</v>
      </c>
      <c r="N6" s="60">
        <v>1.6</v>
      </c>
      <c r="O6" s="48">
        <v>1</v>
      </c>
      <c r="P6" s="48">
        <v>1</v>
      </c>
      <c r="Q6" s="48">
        <v>1</v>
      </c>
      <c r="R6" s="59">
        <v>0.625</v>
      </c>
      <c r="S6" s="53">
        <v>1</v>
      </c>
      <c r="T6" s="48">
        <v>1</v>
      </c>
      <c r="V6" s="53" t="str">
        <v>飛行</v>
      </c>
      <c r="W6" s="54">
        <v>1</v>
      </c>
      <c r="X6" s="54" t="str">
        <v>Mega列空坐</v>
      </c>
      <c r="Y6" s="96">
        <v>26.05</v>
      </c>
      <c r="Z6" s="40"/>
      <c r="AO6" s="3" t="s">
        <v>43</v>
      </c>
      <c r="AP6" s="62">
        <f t="shared" si="2"/>
        <v>1</v>
      </c>
      <c r="AQ6" s="3" t="s">
        <v>200</v>
      </c>
      <c r="AR6" s="94">
        <f t="shared" si="1"/>
        <v>26.05</v>
      </c>
      <c r="AS6" s="3">
        <v>26.05</v>
      </c>
    </row>
    <row r="7" spans="1:45" ht="16.95" customHeight="1">
      <c r="A7" s="48" t="s">
        <v>35</v>
      </c>
      <c r="B7" s="48">
        <v>1</v>
      </c>
      <c r="C7" s="59">
        <v>0.625</v>
      </c>
      <c r="D7" s="48">
        <v>1</v>
      </c>
      <c r="E7" s="60">
        <v>1.6</v>
      </c>
      <c r="F7" s="59">
        <v>0.625</v>
      </c>
      <c r="G7" s="59">
        <v>0.625</v>
      </c>
      <c r="H7" s="59">
        <v>0.625</v>
      </c>
      <c r="I7" s="48">
        <v>1</v>
      </c>
      <c r="J7" s="60">
        <v>1.6</v>
      </c>
      <c r="K7" s="48">
        <v>1</v>
      </c>
      <c r="L7" s="60">
        <v>1.6</v>
      </c>
      <c r="M7" s="48">
        <v>1</v>
      </c>
      <c r="N7" s="59">
        <v>0.625</v>
      </c>
      <c r="O7" s="59">
        <v>0.625</v>
      </c>
      <c r="P7" s="48">
        <v>1</v>
      </c>
      <c r="Q7" s="48">
        <v>1</v>
      </c>
      <c r="R7" s="59">
        <v>0.625</v>
      </c>
      <c r="S7" s="53">
        <v>1</v>
      </c>
      <c r="T7" s="48">
        <v>1</v>
      </c>
      <c r="V7" s="40" t="str">
        <v>岩石</v>
      </c>
      <c r="W7" s="3">
        <v>1.6</v>
      </c>
      <c r="X7" s="3" t="str">
        <v>Mega班基拉斯</v>
      </c>
      <c r="Y7" s="94">
        <v>24.608000000000004</v>
      </c>
      <c r="Z7" s="40"/>
      <c r="AO7" s="3" t="s">
        <v>35</v>
      </c>
      <c r="AP7" s="62">
        <f t="shared" si="2"/>
        <v>0.625</v>
      </c>
      <c r="AQ7" s="3" t="s">
        <v>148</v>
      </c>
      <c r="AR7" s="94">
        <f t="shared" si="1"/>
        <v>12.481249999999999</v>
      </c>
      <c r="AS7" s="3">
        <v>19.97</v>
      </c>
    </row>
    <row r="8" spans="1:45" ht="16.95" customHeight="1">
      <c r="A8" s="48" t="s">
        <v>80</v>
      </c>
      <c r="B8" s="48">
        <v>1</v>
      </c>
      <c r="C8" s="48">
        <v>1</v>
      </c>
      <c r="D8" s="48">
        <v>1</v>
      </c>
      <c r="E8" s="48">
        <v>1</v>
      </c>
      <c r="F8" s="48">
        <v>1</v>
      </c>
      <c r="G8" s="60">
        <v>1.6</v>
      </c>
      <c r="H8" s="59">
        <v>0.625</v>
      </c>
      <c r="I8" s="48">
        <v>1</v>
      </c>
      <c r="J8" s="59">
        <v>0.625</v>
      </c>
      <c r="K8" s="48">
        <v>1</v>
      </c>
      <c r="L8" s="59">
        <v>0.625</v>
      </c>
      <c r="M8" s="48">
        <v>1</v>
      </c>
      <c r="N8" s="48">
        <v>1</v>
      </c>
      <c r="O8" s="48">
        <v>1</v>
      </c>
      <c r="P8" s="59">
        <v>0.625</v>
      </c>
      <c r="Q8" s="48">
        <v>1</v>
      </c>
      <c r="R8" s="61">
        <v>0.39100000000000001</v>
      </c>
      <c r="S8" s="64">
        <v>1.6</v>
      </c>
      <c r="T8" s="48">
        <v>1</v>
      </c>
      <c r="V8" s="53" t="str">
        <v>毒</v>
      </c>
      <c r="W8" s="54">
        <v>1</v>
      </c>
      <c r="X8" s="54" t="str">
        <v>無極汰那</v>
      </c>
      <c r="Y8" s="96">
        <v>23.04</v>
      </c>
      <c r="Z8" s="40"/>
      <c r="AO8" s="3" t="s">
        <v>80</v>
      </c>
      <c r="AP8" s="62">
        <f t="shared" si="2"/>
        <v>1</v>
      </c>
      <c r="AQ8" s="3" t="s">
        <v>137</v>
      </c>
      <c r="AR8" s="94">
        <f t="shared" si="1"/>
        <v>23.04</v>
      </c>
      <c r="AS8" s="3">
        <v>23.04</v>
      </c>
    </row>
    <row r="9" spans="1:45" ht="16.95" customHeight="1">
      <c r="A9" s="48" t="s">
        <v>77</v>
      </c>
      <c r="B9" s="48">
        <v>1</v>
      </c>
      <c r="C9" s="48">
        <v>1</v>
      </c>
      <c r="D9" s="48">
        <v>1</v>
      </c>
      <c r="E9" s="60">
        <v>1.6</v>
      </c>
      <c r="F9" s="60">
        <v>1.6</v>
      </c>
      <c r="G9" s="59">
        <v>0.625</v>
      </c>
      <c r="H9" s="48">
        <v>1</v>
      </c>
      <c r="I9" s="59">
        <v>0.625</v>
      </c>
      <c r="J9" s="61">
        <v>0.39100000000000001</v>
      </c>
      <c r="K9" s="48">
        <v>1</v>
      </c>
      <c r="L9" s="48">
        <v>1</v>
      </c>
      <c r="M9" s="48">
        <v>1</v>
      </c>
      <c r="N9" s="48">
        <v>1</v>
      </c>
      <c r="O9" s="59">
        <v>0.625</v>
      </c>
      <c r="P9" s="48">
        <v>1</v>
      </c>
      <c r="Q9" s="48">
        <v>1</v>
      </c>
      <c r="R9" s="48">
        <v>1</v>
      </c>
      <c r="S9" s="53">
        <v>1</v>
      </c>
      <c r="T9" s="48">
        <v>1</v>
      </c>
      <c r="V9" s="40" t="str">
        <v>龍</v>
      </c>
      <c r="W9" s="3">
        <v>1</v>
      </c>
      <c r="X9" s="3" t="str">
        <v>無極汰那</v>
      </c>
      <c r="Y9" s="94">
        <v>23.04</v>
      </c>
      <c r="Z9" s="40"/>
      <c r="AO9" s="3" t="s">
        <v>77</v>
      </c>
      <c r="AP9" s="62">
        <f t="shared" si="2"/>
        <v>1.6</v>
      </c>
      <c r="AQ9" s="3" t="s">
        <v>149</v>
      </c>
      <c r="AR9" s="94">
        <f t="shared" si="1"/>
        <v>26.544</v>
      </c>
      <c r="AS9" s="3">
        <v>16.59</v>
      </c>
    </row>
    <row r="10" spans="1:45" ht="16.95" customHeight="1">
      <c r="A10" s="48" t="s">
        <v>75</v>
      </c>
      <c r="B10" s="48">
        <v>1</v>
      </c>
      <c r="C10" s="60">
        <v>1.6</v>
      </c>
      <c r="D10" s="48">
        <v>1</v>
      </c>
      <c r="E10" s="48">
        <v>1</v>
      </c>
      <c r="F10" s="61">
        <v>0.39100000000000001</v>
      </c>
      <c r="G10" s="59">
        <v>0.625</v>
      </c>
      <c r="H10" s="60">
        <v>1.6</v>
      </c>
      <c r="I10" s="60">
        <v>1.6</v>
      </c>
      <c r="J10" s="48">
        <v>1</v>
      </c>
      <c r="K10" s="48">
        <v>1</v>
      </c>
      <c r="L10" s="60">
        <v>1.6</v>
      </c>
      <c r="M10" s="48">
        <v>1</v>
      </c>
      <c r="N10" s="59">
        <v>0.625</v>
      </c>
      <c r="O10" s="48">
        <v>1</v>
      </c>
      <c r="P10" s="48">
        <v>1</v>
      </c>
      <c r="Q10" s="48">
        <v>1</v>
      </c>
      <c r="R10" s="60">
        <v>1.6</v>
      </c>
      <c r="S10" s="53">
        <v>1</v>
      </c>
      <c r="T10" s="48">
        <v>1</v>
      </c>
      <c r="V10" s="53" t="str">
        <v>一般</v>
      </c>
      <c r="W10" s="54">
        <v>1</v>
      </c>
      <c r="X10" s="54" t="str">
        <v>暗影雷吉</v>
      </c>
      <c r="Y10" s="96">
        <v>22.5</v>
      </c>
      <c r="Z10" s="40"/>
      <c r="AO10" s="3" t="s">
        <v>75</v>
      </c>
      <c r="AP10" s="62">
        <f t="shared" si="2"/>
        <v>0.39100000000000001</v>
      </c>
      <c r="AQ10" s="3" t="s">
        <v>150</v>
      </c>
      <c r="AR10" s="94">
        <f t="shared" si="1"/>
        <v>6.9793500000000011</v>
      </c>
      <c r="AS10" s="3">
        <v>17.850000000000001</v>
      </c>
    </row>
    <row r="11" spans="1:45" ht="16.95" customHeight="1">
      <c r="A11" s="48" t="s">
        <v>47</v>
      </c>
      <c r="B11" s="48">
        <v>1</v>
      </c>
      <c r="C11" s="48">
        <v>1</v>
      </c>
      <c r="D11" s="60">
        <v>1.6</v>
      </c>
      <c r="E11" s="48">
        <v>1</v>
      </c>
      <c r="F11" s="48">
        <v>1</v>
      </c>
      <c r="G11" s="48">
        <v>1</v>
      </c>
      <c r="H11" s="60">
        <v>1.6</v>
      </c>
      <c r="I11" s="48">
        <v>1</v>
      </c>
      <c r="J11" s="48">
        <v>1</v>
      </c>
      <c r="K11" s="59">
        <v>0.625</v>
      </c>
      <c r="L11" s="48">
        <v>1</v>
      </c>
      <c r="M11" s="48">
        <v>1</v>
      </c>
      <c r="N11" s="48">
        <v>1</v>
      </c>
      <c r="O11" s="48">
        <v>1</v>
      </c>
      <c r="P11" s="48">
        <v>1</v>
      </c>
      <c r="Q11" s="61">
        <v>0.39100000000000001</v>
      </c>
      <c r="R11" s="59">
        <v>0.625</v>
      </c>
      <c r="S11" s="53">
        <v>1</v>
      </c>
      <c r="T11" s="48">
        <v>1</v>
      </c>
      <c r="V11" s="40" t="str">
        <v>鋼</v>
      </c>
      <c r="W11" s="3">
        <v>1</v>
      </c>
      <c r="X11" s="3" t="str">
        <v>劍之王</v>
      </c>
      <c r="Y11" s="94">
        <v>22.27</v>
      </c>
      <c r="Z11" s="40"/>
      <c r="AO11" s="3" t="s">
        <v>47</v>
      </c>
      <c r="AP11" s="62">
        <f t="shared" si="2"/>
        <v>0.625</v>
      </c>
      <c r="AQ11" s="3" t="s">
        <v>151</v>
      </c>
      <c r="AR11" s="94">
        <f t="shared" si="1"/>
        <v>11.31875</v>
      </c>
      <c r="AS11" s="3">
        <v>18.11</v>
      </c>
    </row>
    <row r="12" spans="1:45" ht="16.95" customHeight="1">
      <c r="A12" s="48" t="s">
        <v>39</v>
      </c>
      <c r="B12" s="48">
        <v>1</v>
      </c>
      <c r="C12" s="60">
        <v>1.6</v>
      </c>
      <c r="D12" s="59">
        <v>0.625</v>
      </c>
      <c r="E12" s="48">
        <v>1</v>
      </c>
      <c r="F12" s="60">
        <v>1.6</v>
      </c>
      <c r="G12" s="48">
        <v>1</v>
      </c>
      <c r="H12" s="48">
        <v>1</v>
      </c>
      <c r="I12" s="48">
        <v>1</v>
      </c>
      <c r="J12" s="59">
        <v>0.625</v>
      </c>
      <c r="K12" s="48">
        <v>1</v>
      </c>
      <c r="L12" s="48">
        <v>1</v>
      </c>
      <c r="M12" s="60">
        <v>1.6</v>
      </c>
      <c r="N12" s="60">
        <v>1.6</v>
      </c>
      <c r="O12" s="48">
        <v>1</v>
      </c>
      <c r="P12" s="48">
        <v>1</v>
      </c>
      <c r="Q12" s="48">
        <v>1</v>
      </c>
      <c r="R12" s="59">
        <v>0.625</v>
      </c>
      <c r="S12" s="53">
        <v>1</v>
      </c>
      <c r="T12" s="48">
        <v>1</v>
      </c>
      <c r="V12" s="53" t="str">
        <v>火</v>
      </c>
      <c r="W12" s="54">
        <v>1</v>
      </c>
      <c r="X12" s="54" t="str">
        <v>Nega噴火龍</v>
      </c>
      <c r="Y12" s="96">
        <v>19.68</v>
      </c>
      <c r="Z12" s="40"/>
      <c r="AO12" s="3" t="s">
        <v>39</v>
      </c>
      <c r="AP12" s="62">
        <f t="shared" si="2"/>
        <v>1.6</v>
      </c>
      <c r="AQ12" s="3" t="s">
        <v>152</v>
      </c>
      <c r="AR12" s="94">
        <f t="shared" si="1"/>
        <v>24.608000000000004</v>
      </c>
      <c r="AS12" s="3">
        <v>15.38</v>
      </c>
    </row>
    <row r="13" spans="1:45" ht="16.95" customHeight="1">
      <c r="A13" s="48" t="s">
        <v>76</v>
      </c>
      <c r="B13" s="48">
        <v>1</v>
      </c>
      <c r="C13" s="59">
        <v>0.625</v>
      </c>
      <c r="D13" s="48">
        <v>1</v>
      </c>
      <c r="E13" s="59">
        <v>0.625</v>
      </c>
      <c r="F13" s="60">
        <v>1.6</v>
      </c>
      <c r="G13" s="60">
        <v>1.6</v>
      </c>
      <c r="H13" s="48">
        <v>1</v>
      </c>
      <c r="I13" s="48">
        <v>1</v>
      </c>
      <c r="J13" s="60">
        <v>1.6</v>
      </c>
      <c r="K13" s="48">
        <v>1</v>
      </c>
      <c r="L13" s="48">
        <v>1</v>
      </c>
      <c r="M13" s="59">
        <v>0.625</v>
      </c>
      <c r="N13" s="48">
        <v>1</v>
      </c>
      <c r="O13" s="60">
        <v>1.6</v>
      </c>
      <c r="P13" s="48">
        <v>1</v>
      </c>
      <c r="Q13" s="48">
        <v>1</v>
      </c>
      <c r="R13" s="59">
        <v>0.625</v>
      </c>
      <c r="S13" s="53">
        <v>1</v>
      </c>
      <c r="T13" s="48">
        <v>1</v>
      </c>
      <c r="V13" s="40" t="str">
        <v>水</v>
      </c>
      <c r="W13" s="3">
        <v>1</v>
      </c>
      <c r="X13" s="3" t="str">
        <v>Mega蓋歐卡</v>
      </c>
      <c r="Y13" s="94">
        <v>19.420000000000002</v>
      </c>
      <c r="Z13" s="40"/>
      <c r="AO13" s="3" t="s">
        <v>76</v>
      </c>
      <c r="AP13" s="62">
        <f t="shared" si="2"/>
        <v>1.6</v>
      </c>
      <c r="AQ13" s="3" t="s">
        <v>153</v>
      </c>
      <c r="AR13" s="94">
        <f t="shared" si="1"/>
        <v>30.751999999999999</v>
      </c>
      <c r="AS13" s="3">
        <v>19.22</v>
      </c>
    </row>
    <row r="14" spans="1:45" ht="16.95" customHeight="1">
      <c r="A14" s="48" t="s">
        <v>46</v>
      </c>
      <c r="B14" s="48">
        <v>1</v>
      </c>
      <c r="C14" s="59">
        <v>0.625</v>
      </c>
      <c r="D14" s="59">
        <v>0.625</v>
      </c>
      <c r="E14" s="48">
        <v>1</v>
      </c>
      <c r="F14" s="59">
        <v>0.625</v>
      </c>
      <c r="G14" s="60">
        <v>1.6</v>
      </c>
      <c r="H14" s="59">
        <v>0.625</v>
      </c>
      <c r="I14" s="48">
        <v>1</v>
      </c>
      <c r="J14" s="48">
        <v>1</v>
      </c>
      <c r="K14" s="60">
        <v>1.6</v>
      </c>
      <c r="L14" s="48">
        <v>1</v>
      </c>
      <c r="M14" s="48">
        <v>1</v>
      </c>
      <c r="N14" s="48">
        <v>1</v>
      </c>
      <c r="O14" s="48">
        <v>1</v>
      </c>
      <c r="P14" s="59">
        <v>0.625</v>
      </c>
      <c r="Q14" s="60">
        <v>1.6</v>
      </c>
      <c r="R14" s="59">
        <v>0.625</v>
      </c>
      <c r="S14" s="63">
        <v>0.625</v>
      </c>
      <c r="T14" s="48">
        <v>1</v>
      </c>
      <c r="V14" s="53" t="str">
        <v>妖精</v>
      </c>
      <c r="W14" s="54">
        <v>1</v>
      </c>
      <c r="X14" s="54" t="str">
        <v>Mega沙奈朵</v>
      </c>
      <c r="Y14" s="96">
        <v>17.25</v>
      </c>
      <c r="Z14" s="40"/>
      <c r="AO14" s="3" t="s">
        <v>46</v>
      </c>
      <c r="AP14" s="62">
        <f t="shared" si="2"/>
        <v>1</v>
      </c>
      <c r="AQ14" s="3" t="s">
        <v>159</v>
      </c>
      <c r="AR14" s="94">
        <f t="shared" si="1"/>
        <v>15.73</v>
      </c>
      <c r="AS14" s="3">
        <v>15.73</v>
      </c>
    </row>
    <row r="15" spans="1:45" ht="16.95" customHeight="1">
      <c r="A15" s="48" t="s">
        <v>45</v>
      </c>
      <c r="B15" s="48">
        <v>1</v>
      </c>
      <c r="C15" s="48">
        <v>1</v>
      </c>
      <c r="D15" s="48">
        <v>1</v>
      </c>
      <c r="E15" s="48">
        <v>1</v>
      </c>
      <c r="F15" s="48">
        <v>1</v>
      </c>
      <c r="G15" s="48">
        <v>1</v>
      </c>
      <c r="H15" s="48">
        <v>1</v>
      </c>
      <c r="I15" s="48">
        <v>1</v>
      </c>
      <c r="J15" s="48">
        <v>1</v>
      </c>
      <c r="K15" s="48">
        <v>1</v>
      </c>
      <c r="L15" s="48">
        <v>1</v>
      </c>
      <c r="M15" s="48">
        <v>1</v>
      </c>
      <c r="N15" s="48">
        <v>1</v>
      </c>
      <c r="O15" s="60">
        <v>1.6</v>
      </c>
      <c r="P15" s="48">
        <v>1</v>
      </c>
      <c r="Q15" s="48">
        <v>1</v>
      </c>
      <c r="R15" s="59">
        <v>0.625</v>
      </c>
      <c r="S15" s="65">
        <v>0.39100000000000001</v>
      </c>
      <c r="T15" s="48">
        <v>1</v>
      </c>
      <c r="V15" s="40" t="str">
        <v>蟲</v>
      </c>
      <c r="W15" s="3">
        <v>1</v>
      </c>
      <c r="X15" s="3" t="str">
        <v>Mega凱羅斯</v>
      </c>
      <c r="Y15" s="94">
        <v>15.73</v>
      </c>
      <c r="Z15" s="40"/>
      <c r="AO15" s="3" t="s">
        <v>45</v>
      </c>
      <c r="AP15" s="62">
        <f t="shared" si="2"/>
        <v>1</v>
      </c>
      <c r="AQ15" s="3" t="s">
        <v>137</v>
      </c>
      <c r="AR15" s="94">
        <f t="shared" si="1"/>
        <v>23.04</v>
      </c>
      <c r="AS15" s="3">
        <v>23.04</v>
      </c>
    </row>
    <row r="16" spans="1:45" ht="16.95" customHeight="1">
      <c r="A16" s="48" t="s">
        <v>72</v>
      </c>
      <c r="B16" s="61">
        <v>0.39100000000000001</v>
      </c>
      <c r="C16" s="48">
        <v>1</v>
      </c>
      <c r="D16" s="48">
        <v>1</v>
      </c>
      <c r="E16" s="48">
        <v>1</v>
      </c>
      <c r="F16" s="48">
        <v>1</v>
      </c>
      <c r="G16" s="48">
        <v>1</v>
      </c>
      <c r="H16" s="48">
        <v>1</v>
      </c>
      <c r="I16" s="48">
        <v>1</v>
      </c>
      <c r="J16" s="48">
        <v>1</v>
      </c>
      <c r="K16" s="60">
        <v>1.6</v>
      </c>
      <c r="L16" s="48">
        <v>1</v>
      </c>
      <c r="M16" s="48">
        <v>1</v>
      </c>
      <c r="N16" s="48">
        <v>1</v>
      </c>
      <c r="O16" s="48">
        <v>1</v>
      </c>
      <c r="P16" s="60">
        <v>1.6</v>
      </c>
      <c r="Q16" s="59">
        <v>0.625</v>
      </c>
      <c r="R16" s="48">
        <v>1</v>
      </c>
      <c r="S16" s="53">
        <v>1</v>
      </c>
      <c r="T16" s="48">
        <v>1</v>
      </c>
      <c r="V16" s="53" t="str">
        <v>草</v>
      </c>
      <c r="W16" s="54">
        <v>0.625</v>
      </c>
      <c r="X16" s="54" t="str">
        <v>Mega蜥蜴王</v>
      </c>
      <c r="Y16" s="96">
        <v>12.481249999999999</v>
      </c>
      <c r="Z16" s="40"/>
      <c r="AO16" s="3" t="s">
        <v>72</v>
      </c>
      <c r="AP16" s="62">
        <f t="shared" si="2"/>
        <v>1.6</v>
      </c>
      <c r="AQ16" s="3" t="s">
        <v>154</v>
      </c>
      <c r="AR16" s="94">
        <f t="shared" si="1"/>
        <v>35.456000000000003</v>
      </c>
      <c r="AS16" s="3">
        <v>22.16</v>
      </c>
    </row>
    <row r="17" spans="1:45" ht="16.95" customHeight="1">
      <c r="A17" s="48" t="s">
        <v>37</v>
      </c>
      <c r="B17" s="48">
        <v>1</v>
      </c>
      <c r="C17" s="48">
        <v>1</v>
      </c>
      <c r="D17" s="59">
        <v>0.625</v>
      </c>
      <c r="E17" s="48">
        <v>1</v>
      </c>
      <c r="F17" s="48">
        <v>1</v>
      </c>
      <c r="G17" s="48">
        <v>1</v>
      </c>
      <c r="H17" s="48">
        <v>1</v>
      </c>
      <c r="I17" s="48">
        <v>1</v>
      </c>
      <c r="J17" s="48">
        <v>1</v>
      </c>
      <c r="K17" s="60">
        <v>1.6</v>
      </c>
      <c r="L17" s="48">
        <v>1</v>
      </c>
      <c r="M17" s="48">
        <v>1</v>
      </c>
      <c r="N17" s="48">
        <v>1</v>
      </c>
      <c r="O17" s="48">
        <v>1</v>
      </c>
      <c r="P17" s="60">
        <v>1.6</v>
      </c>
      <c r="Q17" s="59">
        <v>0.625</v>
      </c>
      <c r="R17" s="48">
        <v>1</v>
      </c>
      <c r="S17" s="63">
        <v>0.625</v>
      </c>
      <c r="T17" s="48">
        <v>1</v>
      </c>
      <c r="V17" s="40" t="str">
        <v>超能力</v>
      </c>
      <c r="W17" s="3">
        <v>0.625</v>
      </c>
      <c r="X17" s="3" t="str">
        <v>Mega艾路雷朵</v>
      </c>
      <c r="Y17" s="94">
        <v>11.31875</v>
      </c>
      <c r="Z17" s="40"/>
      <c r="AO17" s="3" t="s">
        <v>37</v>
      </c>
      <c r="AP17" s="62">
        <f t="shared" si="2"/>
        <v>1.6</v>
      </c>
      <c r="AQ17" s="3" t="s">
        <v>152</v>
      </c>
      <c r="AR17" s="94">
        <f t="shared" si="1"/>
        <v>28.608000000000001</v>
      </c>
      <c r="AS17" s="3">
        <v>17.88</v>
      </c>
    </row>
    <row r="18" spans="1:45" ht="16.95" customHeight="1">
      <c r="A18" s="48" t="s">
        <v>71</v>
      </c>
      <c r="B18" s="48">
        <v>1</v>
      </c>
      <c r="C18" s="59">
        <v>0.625</v>
      </c>
      <c r="D18" s="48">
        <v>1</v>
      </c>
      <c r="E18" s="59">
        <v>0.625</v>
      </c>
      <c r="F18" s="48">
        <v>1</v>
      </c>
      <c r="G18" s="48">
        <v>1</v>
      </c>
      <c r="H18" s="48">
        <v>1</v>
      </c>
      <c r="I18" s="59">
        <v>0.625</v>
      </c>
      <c r="J18" s="48">
        <v>1</v>
      </c>
      <c r="K18" s="48">
        <v>1</v>
      </c>
      <c r="L18" s="60">
        <v>1.6</v>
      </c>
      <c r="M18" s="60">
        <v>1.6</v>
      </c>
      <c r="N18" s="48">
        <v>1</v>
      </c>
      <c r="O18" s="48">
        <v>1</v>
      </c>
      <c r="P18" s="48">
        <v>1</v>
      </c>
      <c r="Q18" s="48">
        <v>1</v>
      </c>
      <c r="R18" s="59">
        <v>0.625</v>
      </c>
      <c r="S18" s="64">
        <v>1.6</v>
      </c>
      <c r="T18" s="48">
        <v>1</v>
      </c>
      <c r="V18" s="53" t="str">
        <v>格鬥</v>
      </c>
      <c r="W18" s="101">
        <v>0.390625</v>
      </c>
      <c r="X18" s="54" t="str">
        <v>Mega路卡</v>
      </c>
      <c r="Y18" s="96">
        <v>8.76171875</v>
      </c>
      <c r="Z18" s="40"/>
      <c r="AO18" s="3" t="s">
        <v>71</v>
      </c>
      <c r="AP18" s="62">
        <f t="shared" si="2"/>
        <v>1</v>
      </c>
      <c r="AQ18" s="3" t="s">
        <v>157</v>
      </c>
      <c r="AR18" s="94">
        <f t="shared" si="1"/>
        <v>22.27</v>
      </c>
      <c r="AS18" s="3">
        <v>22.27</v>
      </c>
    </row>
    <row r="19" spans="1:45" ht="16.95" customHeight="1">
      <c r="A19" s="66" t="s">
        <v>99</v>
      </c>
      <c r="B19" s="66">
        <v>1</v>
      </c>
      <c r="C19" s="67">
        <v>0.625</v>
      </c>
      <c r="D19" s="66">
        <v>1</v>
      </c>
      <c r="E19" s="66">
        <v>1</v>
      </c>
      <c r="F19" s="66">
        <v>1</v>
      </c>
      <c r="G19" s="66">
        <v>1</v>
      </c>
      <c r="H19" s="67">
        <v>0.625</v>
      </c>
      <c r="I19" s="66">
        <v>1</v>
      </c>
      <c r="J19" s="66">
        <v>1</v>
      </c>
      <c r="K19" s="66">
        <v>1</v>
      </c>
      <c r="L19" s="66">
        <v>1</v>
      </c>
      <c r="M19" s="66">
        <v>1</v>
      </c>
      <c r="N19" s="66">
        <v>1</v>
      </c>
      <c r="O19" s="68">
        <v>1.6</v>
      </c>
      <c r="P19" s="66">
        <v>1</v>
      </c>
      <c r="Q19" s="68">
        <v>1.6</v>
      </c>
      <c r="R19" s="67">
        <v>0.625</v>
      </c>
      <c r="S19" s="69">
        <v>1</v>
      </c>
      <c r="T19" s="48">
        <v>1</v>
      </c>
      <c r="V19" s="53" t="str">
        <v>地面</v>
      </c>
      <c r="W19" s="101">
        <v>0.39100000000000001</v>
      </c>
      <c r="X19" s="54" t="str">
        <v>Mega烈咬陸鯊</v>
      </c>
      <c r="Y19" s="96">
        <v>6.9793500000000011</v>
      </c>
      <c r="Z19" s="40"/>
      <c r="AO19" s="3" t="s">
        <v>99</v>
      </c>
      <c r="AP19" s="62">
        <f t="shared" si="2"/>
        <v>1</v>
      </c>
      <c r="AQ19" s="3" t="s">
        <v>155</v>
      </c>
      <c r="AR19" s="94">
        <f t="shared" si="1"/>
        <v>17.25</v>
      </c>
      <c r="AS19" s="3">
        <v>17.25</v>
      </c>
    </row>
    <row r="20" spans="1:45">
      <c r="A20" s="48" t="s">
        <v>123</v>
      </c>
      <c r="B20" s="48">
        <v>1</v>
      </c>
      <c r="C20" s="48">
        <v>1</v>
      </c>
      <c r="D20" s="48">
        <v>1</v>
      </c>
      <c r="E20" s="48">
        <v>1</v>
      </c>
      <c r="F20" s="48">
        <v>1</v>
      </c>
      <c r="G20" s="48">
        <v>1</v>
      </c>
      <c r="H20" s="48">
        <v>1</v>
      </c>
      <c r="I20" s="48">
        <v>1</v>
      </c>
      <c r="J20" s="48">
        <v>1</v>
      </c>
      <c r="K20" s="48">
        <v>1</v>
      </c>
      <c r="L20" s="48">
        <v>1</v>
      </c>
      <c r="M20" s="48">
        <v>1</v>
      </c>
      <c r="N20" s="48">
        <v>1</v>
      </c>
      <c r="O20" s="48">
        <v>1</v>
      </c>
      <c r="P20" s="48">
        <v>1</v>
      </c>
      <c r="Q20" s="48">
        <v>1</v>
      </c>
      <c r="R20" s="48">
        <v>1</v>
      </c>
      <c r="S20" s="48">
        <v>1</v>
      </c>
      <c r="T20" s="48">
        <v>1</v>
      </c>
    </row>
    <row r="25" spans="1:45">
      <c r="D25" s="62"/>
    </row>
    <row r="26" spans="1:45">
      <c r="D26" s="62"/>
    </row>
  </sheetData>
  <dataConsolidate/>
  <phoneticPr fontId="1" type="noConversion"/>
  <dataValidations count="2">
    <dataValidation type="list" allowBlank="1" showInputMessage="1" showErrorMessage="1" prompt="蘋果,香蕉,葡萄,西瓜,芒果" sqref="J26" xr:uid="{EF4571C8-5A2A-4B4E-8E0F-788724244B57}">
      <formula1>"蘋果,香蕉,葡萄,西瓜,芒果"</formula1>
    </dataValidation>
    <dataValidation type="list" allowBlank="1" showInputMessage="1" showErrorMessage="1" sqref="AC3:AE3 V1:W1" xr:uid="{AC9EA968-3732-4A33-91C6-388B370984AB}">
      <formula1>$A$2:$A$20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7C914-E549-418B-AFA2-F4C5650A33B8}">
  <dimension ref="A1:CH35"/>
  <sheetViews>
    <sheetView topLeftCell="BN1" zoomScaleNormal="100" workbookViewId="0">
      <selection activeCell="BS2" sqref="BS2:BV2"/>
    </sheetView>
  </sheetViews>
  <sheetFormatPr defaultColWidth="9.88671875" defaultRowHeight="16.2"/>
  <cols>
    <col min="1" max="1" width="13.88671875" style="4" customWidth="1"/>
    <col min="2" max="2" width="9.88671875" style="4"/>
    <col min="3" max="3" width="13" style="7" bestFit="1" customWidth="1"/>
    <col min="4" max="5" width="9.88671875" style="2"/>
    <col min="6" max="6" width="13.88671875" style="7" bestFit="1" customWidth="1"/>
    <col min="7" max="7" width="9.88671875" style="4"/>
    <col min="8" max="8" width="13" style="7" bestFit="1" customWidth="1"/>
    <col min="9" max="9" width="9.88671875" style="7"/>
    <col min="10" max="10" width="9.88671875" style="2"/>
    <col min="11" max="11" width="13.88671875" style="2" customWidth="1"/>
    <col min="12" max="12" width="9.88671875" style="2"/>
    <col min="13" max="13" width="13" style="2" customWidth="1"/>
    <col min="14" max="15" width="9.88671875" style="2"/>
    <col min="16" max="16" width="13.88671875" style="2" customWidth="1"/>
    <col min="17" max="17" width="9.88671875" style="2"/>
    <col min="18" max="18" width="13" style="2" bestFit="1" customWidth="1"/>
    <col min="19" max="20" width="9.88671875" style="2"/>
    <col min="21" max="21" width="13.88671875" style="2" customWidth="1"/>
    <col min="22" max="22" width="9.88671875" style="2"/>
    <col min="23" max="23" width="13" style="2" bestFit="1" customWidth="1"/>
    <col min="24" max="25" width="9.88671875" style="2"/>
    <col min="26" max="26" width="13.88671875" style="2" customWidth="1"/>
    <col min="27" max="27" width="9.88671875" style="2"/>
    <col min="28" max="28" width="13" style="2" bestFit="1" customWidth="1"/>
    <col min="29" max="30" width="9.88671875" style="2"/>
    <col min="31" max="31" width="13.88671875" style="2" customWidth="1"/>
    <col min="32" max="32" width="9.88671875" style="4"/>
    <col min="33" max="33" width="13" style="4" bestFit="1" customWidth="1"/>
    <col min="34" max="35" width="9.88671875" style="2"/>
    <col min="36" max="36" width="13.88671875" style="2" customWidth="1"/>
    <col min="37" max="37" width="9.88671875" style="2"/>
    <col min="38" max="38" width="13" style="2" bestFit="1" customWidth="1"/>
    <col min="39" max="40" width="9.88671875" style="2"/>
    <col min="41" max="41" width="13.88671875" style="2" customWidth="1"/>
    <col min="42" max="42" width="9.88671875" style="2"/>
    <col min="43" max="43" width="13" style="2" bestFit="1" customWidth="1"/>
    <col min="44" max="45" width="9.88671875" style="2"/>
    <col min="46" max="46" width="13.88671875" style="2" customWidth="1"/>
    <col min="47" max="47" width="9.88671875" style="2"/>
    <col min="48" max="48" width="13" style="2" bestFit="1" customWidth="1"/>
    <col min="49" max="50" width="9.88671875" style="2"/>
    <col min="51" max="51" width="13.88671875" style="2" customWidth="1"/>
    <col min="52" max="52" width="9.88671875" style="4"/>
    <col min="53" max="53" width="13" style="4" bestFit="1" customWidth="1"/>
    <col min="54" max="55" width="9.88671875" style="2"/>
    <col min="56" max="56" width="13.88671875" style="2" customWidth="1"/>
    <col min="57" max="57" width="9.88671875" style="2"/>
    <col min="58" max="58" width="13" style="2" bestFit="1" customWidth="1"/>
    <col min="59" max="60" width="9.88671875" style="2"/>
    <col min="61" max="61" width="13.88671875" style="2" customWidth="1"/>
    <col min="62" max="62" width="9.88671875" style="2"/>
    <col min="63" max="63" width="13" style="2" bestFit="1" customWidth="1"/>
    <col min="64" max="65" width="9.88671875" style="2"/>
    <col min="66" max="66" width="13.88671875" style="2" customWidth="1"/>
    <col min="67" max="67" width="9.88671875" style="2"/>
    <col min="68" max="68" width="13" style="2" bestFit="1" customWidth="1"/>
    <col min="69" max="70" width="9.88671875" style="2"/>
    <col min="71" max="71" width="13.88671875" style="2" customWidth="1"/>
    <col min="72" max="72" width="9.88671875" style="2"/>
    <col min="73" max="73" width="13" style="2" bestFit="1" customWidth="1"/>
    <col min="74" max="76" width="9.88671875" style="2"/>
    <col min="77" max="77" width="9.88671875" style="4"/>
    <col min="78" max="78" width="13" style="4" bestFit="1" customWidth="1"/>
    <col min="79" max="82" width="9.88671875" style="2"/>
    <col min="83" max="83" width="13" style="2" bestFit="1" customWidth="1"/>
    <col min="84" max="16384" width="9.88671875" style="2"/>
  </cols>
  <sheetData>
    <row r="1" spans="1:86">
      <c r="A1" s="5" t="s">
        <v>3</v>
      </c>
      <c r="B1" s="5" t="s">
        <v>2</v>
      </c>
      <c r="C1" s="6" t="s">
        <v>9</v>
      </c>
      <c r="D1" s="6" t="s">
        <v>10</v>
      </c>
      <c r="E1" s="3"/>
      <c r="F1" s="14" t="s">
        <v>11</v>
      </c>
      <c r="G1" s="15" t="s">
        <v>2</v>
      </c>
      <c r="H1" s="14" t="s">
        <v>9</v>
      </c>
      <c r="I1" s="14" t="s">
        <v>10</v>
      </c>
      <c r="J1" s="1"/>
      <c r="K1" s="8" t="s">
        <v>32</v>
      </c>
      <c r="L1" s="9" t="s">
        <v>2</v>
      </c>
      <c r="M1" s="8" t="s">
        <v>9</v>
      </c>
      <c r="N1" s="8" t="s">
        <v>10</v>
      </c>
      <c r="O1" s="1"/>
      <c r="P1" s="11" t="s">
        <v>70</v>
      </c>
      <c r="Q1" s="10" t="s">
        <v>2</v>
      </c>
      <c r="R1" s="10" t="s">
        <v>9</v>
      </c>
      <c r="S1" s="10" t="s">
        <v>10</v>
      </c>
      <c r="T1" s="1"/>
      <c r="U1" s="12" t="s">
        <v>43</v>
      </c>
      <c r="V1" s="13" t="s">
        <v>2</v>
      </c>
      <c r="W1" s="13" t="s">
        <v>9</v>
      </c>
      <c r="X1" s="13" t="s">
        <v>10</v>
      </c>
      <c r="Y1" s="1"/>
      <c r="Z1" s="16" t="s">
        <v>80</v>
      </c>
      <c r="AA1" s="17" t="s">
        <v>2</v>
      </c>
      <c r="AB1" s="17" t="s">
        <v>9</v>
      </c>
      <c r="AC1" s="17" t="s">
        <v>10</v>
      </c>
      <c r="AE1" s="18" t="s">
        <v>75</v>
      </c>
      <c r="AF1" s="19" t="s">
        <v>2</v>
      </c>
      <c r="AG1" s="19" t="s">
        <v>9</v>
      </c>
      <c r="AH1" s="19" t="s">
        <v>10</v>
      </c>
      <c r="AI1" s="1"/>
      <c r="AJ1" s="20" t="s">
        <v>39</v>
      </c>
      <c r="AK1" s="21" t="s">
        <v>2</v>
      </c>
      <c r="AL1" s="21" t="s">
        <v>9</v>
      </c>
      <c r="AM1" s="21" t="s">
        <v>10</v>
      </c>
      <c r="AN1" s="1"/>
      <c r="AO1" s="22" t="s">
        <v>46</v>
      </c>
      <c r="AP1" s="23" t="s">
        <v>2</v>
      </c>
      <c r="AQ1" s="23" t="s">
        <v>9</v>
      </c>
      <c r="AR1" s="23" t="s">
        <v>10</v>
      </c>
      <c r="AS1" s="17"/>
      <c r="AT1" s="24" t="s">
        <v>72</v>
      </c>
      <c r="AU1" s="25" t="s">
        <v>2</v>
      </c>
      <c r="AV1" s="25" t="s">
        <v>9</v>
      </c>
      <c r="AW1" s="25" t="s">
        <v>10</v>
      </c>
      <c r="AX1" s="17"/>
      <c r="AY1" s="26" t="s">
        <v>71</v>
      </c>
      <c r="AZ1" s="27" t="s">
        <v>2</v>
      </c>
      <c r="BA1" s="27" t="s">
        <v>9</v>
      </c>
      <c r="BB1" s="27" t="s">
        <v>10</v>
      </c>
      <c r="BC1" s="17"/>
      <c r="BD1" s="28" t="s">
        <v>77</v>
      </c>
      <c r="BE1" s="29" t="s">
        <v>2</v>
      </c>
      <c r="BF1" s="29" t="s">
        <v>9</v>
      </c>
      <c r="BG1" s="29" t="s">
        <v>10</v>
      </c>
      <c r="BH1" s="17"/>
      <c r="BI1" s="32" t="s">
        <v>47</v>
      </c>
      <c r="BJ1" s="33" t="s">
        <v>2</v>
      </c>
      <c r="BK1" s="33" t="s">
        <v>9</v>
      </c>
      <c r="BL1" s="33" t="s">
        <v>10</v>
      </c>
      <c r="BN1" s="37" t="s">
        <v>76</v>
      </c>
      <c r="BO1" s="38" t="s">
        <v>2</v>
      </c>
      <c r="BP1" s="38" t="s">
        <v>9</v>
      </c>
      <c r="BQ1" s="38" t="s">
        <v>10</v>
      </c>
      <c r="BR1" s="17"/>
      <c r="BS1" s="35" t="s">
        <v>45</v>
      </c>
      <c r="BT1" s="36" t="s">
        <v>2</v>
      </c>
      <c r="BU1" s="36" t="s">
        <v>9</v>
      </c>
      <c r="BV1" s="36" t="s">
        <v>10</v>
      </c>
      <c r="BW1" s="17"/>
      <c r="BX1" s="34" t="s">
        <v>37</v>
      </c>
      <c r="BY1" s="4" t="s">
        <v>2</v>
      </c>
      <c r="BZ1" s="4" t="s">
        <v>9</v>
      </c>
      <c r="CA1" s="4" t="s">
        <v>10</v>
      </c>
      <c r="CC1" s="30" t="s">
        <v>99</v>
      </c>
      <c r="CD1" s="31" t="s">
        <v>2</v>
      </c>
      <c r="CE1" s="31" t="s">
        <v>9</v>
      </c>
      <c r="CF1" s="31" t="s">
        <v>10</v>
      </c>
    </row>
    <row r="2" spans="1:86">
      <c r="A2" s="4" t="s">
        <v>131</v>
      </c>
      <c r="B2" s="4">
        <v>238</v>
      </c>
      <c r="C2" s="7" t="s">
        <v>5</v>
      </c>
      <c r="D2" s="3">
        <f>IF(C2="G", B2*450*1.2*1.6, IF(C2="D", B2*350*1.2*1.6, ""))</f>
        <v>205632</v>
      </c>
      <c r="E2" s="3"/>
      <c r="F2" s="7" t="s">
        <v>17</v>
      </c>
      <c r="G2" s="4">
        <v>262</v>
      </c>
      <c r="H2" s="7" t="s">
        <v>5</v>
      </c>
      <c r="I2" s="7">
        <f t="shared" ref="I2:I17" si="0">IF(H2="G", G2*450*1.2*1.6, IF(H2="D", G2*350*1.2*1.6, ""))</f>
        <v>226368</v>
      </c>
      <c r="K2" s="3" t="s">
        <v>91</v>
      </c>
      <c r="L2" s="3">
        <v>239</v>
      </c>
      <c r="M2" s="3" t="s">
        <v>5</v>
      </c>
      <c r="N2" s="7">
        <f>IF(M2="G", L2*450*1.2*1.6, IF(M2="D", L2*350*1.2*1.6, ""))</f>
        <v>206496</v>
      </c>
      <c r="O2" s="3"/>
      <c r="P2" s="3" t="s">
        <v>62</v>
      </c>
      <c r="Q2" s="3">
        <v>234</v>
      </c>
      <c r="R2" s="3" t="s">
        <v>5</v>
      </c>
      <c r="S2" s="7">
        <f>IF(R2="G", Q2*450*1.2*1.6, IF(R2="D", Q2*350*1.2*1.6, ""))</f>
        <v>202176</v>
      </c>
      <c r="T2" s="3"/>
      <c r="U2" s="3" t="s">
        <v>56</v>
      </c>
      <c r="V2" s="3">
        <v>253</v>
      </c>
      <c r="W2" s="3" t="s">
        <v>6</v>
      </c>
      <c r="X2" s="7">
        <f>IF(W2="G", V2*450*1.2*1.6, IF(W2="D", V2*350*1.2*1.6, ""))</f>
        <v>170016</v>
      </c>
      <c r="Y2" s="3"/>
      <c r="Z2" s="3" t="s">
        <v>92</v>
      </c>
      <c r="AA2" s="3">
        <v>224</v>
      </c>
      <c r="AB2" s="3" t="s">
        <v>6</v>
      </c>
      <c r="AC2" s="7">
        <f>IF(AB2="G", AA2*450*1.2*1.6, IF(AB2="D", AA2*350*1.2*1.6, ""))</f>
        <v>150528</v>
      </c>
      <c r="AD2" s="1"/>
      <c r="AE2" s="4" t="s">
        <v>59</v>
      </c>
      <c r="AF2" s="4">
        <v>255</v>
      </c>
      <c r="AG2" s="4" t="s">
        <v>6</v>
      </c>
      <c r="AH2" s="4">
        <f>IF(AG2="G", AF2*450*1.2*1.6, IF(AG2="D", AF2*350*1.2*1.6, ""))</f>
        <v>171360</v>
      </c>
      <c r="AI2" s="3"/>
      <c r="AJ2" s="3" t="s">
        <v>84</v>
      </c>
      <c r="AK2" s="3">
        <v>207</v>
      </c>
      <c r="AL2" s="3" t="s">
        <v>6</v>
      </c>
      <c r="AM2" s="4">
        <f>IF(AL2="G", AK2*450*1.2*1.6, IF(AL2="D", AK2*350*1.2*1.6, ""))</f>
        <v>139104</v>
      </c>
      <c r="AO2" s="3" t="s">
        <v>34</v>
      </c>
      <c r="AP2" s="3">
        <v>167</v>
      </c>
      <c r="AQ2" s="3" t="s">
        <v>5</v>
      </c>
      <c r="AR2" s="4">
        <f>IF(AQ2="G", AP2*450*1.2*1.6, IF(AQ2="D", AP2*350*1.2*1.6, ""))</f>
        <v>144288</v>
      </c>
      <c r="AS2" s="3"/>
      <c r="AT2" s="3" t="s">
        <v>48</v>
      </c>
      <c r="AU2" s="3">
        <v>261</v>
      </c>
      <c r="AV2" s="3" t="s">
        <v>5</v>
      </c>
      <c r="AW2" s="4">
        <f>IF(AV2="G", AU2*450*1.2*1.6, IF(AV2="D", AU2*350*1.2*1.6, ""))</f>
        <v>225504</v>
      </c>
      <c r="AX2" s="3"/>
      <c r="AY2" s="3" t="s">
        <v>87</v>
      </c>
      <c r="AZ2" s="4">
        <v>332</v>
      </c>
      <c r="BA2" s="4" t="s">
        <v>6</v>
      </c>
      <c r="BB2" s="4">
        <f>IF(BA2="G", AZ2*450*1.2*1.6, IF(BA2="D", AZ2*350*1.2*1.6, ""))</f>
        <v>223104</v>
      </c>
      <c r="BC2" s="3"/>
      <c r="BD2" s="3" t="s">
        <v>128</v>
      </c>
      <c r="BE2" s="3">
        <v>224</v>
      </c>
      <c r="BF2" s="3" t="s">
        <v>5</v>
      </c>
      <c r="BG2" s="4">
        <f>IF(BF2="G", BE2*450*1.2*1.6, IF(BF2="D", BE2*350*1.2*1.6, ""))</f>
        <v>193536</v>
      </c>
      <c r="BH2" s="3"/>
      <c r="BI2" s="3" t="s">
        <v>81</v>
      </c>
      <c r="BJ2" s="3">
        <v>268</v>
      </c>
      <c r="BK2" s="3" t="s">
        <v>6</v>
      </c>
      <c r="BL2" s="4">
        <f>IF(BK2="G", BJ2*450*1.2*1.6, IF(BK2="D", BJ2*350*1.2*1.6, ""))</f>
        <v>180096</v>
      </c>
      <c r="BM2"/>
      <c r="BN2" s="3" t="s">
        <v>86</v>
      </c>
      <c r="BO2" s="3">
        <v>165</v>
      </c>
      <c r="BP2" s="3" t="s">
        <v>5</v>
      </c>
      <c r="BQ2" s="4">
        <f>IF(BP2="G", BO2*450*1.2*1.6, IF(BP2="D", BO2*350*1.2*1.6, ""))</f>
        <v>142560</v>
      </c>
      <c r="BR2"/>
      <c r="BS2" s="7" t="s">
        <v>137</v>
      </c>
      <c r="BT2" s="7">
        <v>278</v>
      </c>
      <c r="BU2" s="3" t="s">
        <v>6</v>
      </c>
      <c r="BV2" s="4">
        <f>IF(BU2="G", BT2*450*1.2*1.6, IF(BU2="D", BT2*350*1.2*1.6, ""))</f>
        <v>186816</v>
      </c>
      <c r="BW2"/>
      <c r="BX2" t="s">
        <v>90</v>
      </c>
      <c r="BY2" s="4">
        <v>254</v>
      </c>
      <c r="BZ2" s="4" t="s">
        <v>6</v>
      </c>
      <c r="CA2" s="4">
        <f>IF(BZ2="G", BY2*450*1.2*1.6, IF(BZ2="D", BY2*350*1.2*1.6, ""))</f>
        <v>170688</v>
      </c>
      <c r="CB2"/>
      <c r="CC2" s="3" t="s">
        <v>53</v>
      </c>
      <c r="CD2" s="3">
        <v>237</v>
      </c>
      <c r="CE2" s="3" t="s">
        <v>6</v>
      </c>
      <c r="CF2" s="4">
        <f>IF(CE2="G", CD2*450*1.2*1.6, IF(CE2="D", CD2*350*1.2*1.6, ""))</f>
        <v>159264</v>
      </c>
      <c r="CG2"/>
      <c r="CH2"/>
    </row>
    <row r="3" spans="1:86">
      <c r="A3" s="4" t="s">
        <v>130</v>
      </c>
      <c r="B3" s="4">
        <v>223</v>
      </c>
      <c r="C3" s="7" t="s">
        <v>5</v>
      </c>
      <c r="D3" s="3">
        <f t="shared" ref="D3:D13" si="1">IF(C3="G", B3*450*1.2*1.6, IF(C3="D", B3*350*1.2*1.6, ""))</f>
        <v>192672</v>
      </c>
      <c r="E3" s="3"/>
      <c r="F3" s="7" t="s">
        <v>19</v>
      </c>
      <c r="G3" s="4">
        <v>240</v>
      </c>
      <c r="H3" s="7" t="s">
        <v>5</v>
      </c>
      <c r="I3" s="7">
        <f t="shared" si="0"/>
        <v>207360</v>
      </c>
      <c r="K3" s="3" t="s">
        <v>33</v>
      </c>
      <c r="L3" s="3">
        <v>198</v>
      </c>
      <c r="M3" s="3" t="s">
        <v>5</v>
      </c>
      <c r="N3" s="7">
        <f>IF(M3="G", L3*450*1.2*1.6, IF(M3="D", L3*350*1.2*1.6, ""))</f>
        <v>171072</v>
      </c>
      <c r="O3" s="3"/>
      <c r="P3" s="3" t="s">
        <v>95</v>
      </c>
      <c r="Q3" s="3">
        <v>254</v>
      </c>
      <c r="R3" s="3" t="s">
        <v>6</v>
      </c>
      <c r="S3" s="7">
        <f>IF(R3="G", Q3*450*1.2*1.6, IF(R3="D", Q3*350*1.2*1.6, ""))</f>
        <v>170688</v>
      </c>
      <c r="T3" s="3"/>
      <c r="U3" s="3" t="s">
        <v>57</v>
      </c>
      <c r="V3" s="3">
        <v>251</v>
      </c>
      <c r="W3" s="3" t="s">
        <v>6</v>
      </c>
      <c r="X3" s="7">
        <f>IF(W3="G", V3*450*1.2*1.6, IF(W3="D", V3*350*1.2*1.6, ""))</f>
        <v>168672</v>
      </c>
      <c r="Y3" s="3"/>
      <c r="Z3" s="3"/>
      <c r="AA3" s="3"/>
      <c r="AE3" s="4" t="s">
        <v>19</v>
      </c>
      <c r="AF3" s="4">
        <v>240</v>
      </c>
      <c r="AG3" s="4" t="s">
        <v>6</v>
      </c>
      <c r="AH3" s="4">
        <f>IF(AG3="G", AF3*450*1.2*1.6, IF(AG3="D", AF3*350*1*1.6, ""))</f>
        <v>134400</v>
      </c>
      <c r="AI3" s="3"/>
      <c r="AJ3" s="3" t="s">
        <v>24</v>
      </c>
      <c r="AK3" s="3">
        <v>175</v>
      </c>
      <c r="AL3" s="3" t="s">
        <v>6</v>
      </c>
      <c r="AM3" s="4">
        <f>IF(AL3="G", AK3*450*1.2*1.6, IF(AL3="D", AK3*350*1*1.6, ""))</f>
        <v>98000</v>
      </c>
      <c r="AO3" s="3" t="s">
        <v>51</v>
      </c>
      <c r="AP3" s="3">
        <v>257</v>
      </c>
      <c r="AQ3" s="3" t="s">
        <v>6</v>
      </c>
      <c r="AR3" s="4">
        <f>IF(AQ3="G", AP3*450*1.2*1.6, IF(AQ3="D", AP3*350*1*1.6, ""))</f>
        <v>143920</v>
      </c>
      <c r="AS3" s="3"/>
      <c r="AT3" s="3" t="s">
        <v>48</v>
      </c>
      <c r="AU3" s="3">
        <v>261</v>
      </c>
      <c r="AV3" s="3" t="s">
        <v>6</v>
      </c>
      <c r="AW3" s="4">
        <f>IF(AV3="G", AU3*450*1.2*1.6, IF(AV3="D", AU3*350*1.2*1.6, ""))</f>
        <v>175392</v>
      </c>
      <c r="AX3" s="3"/>
      <c r="AY3" s="3" t="s">
        <v>51</v>
      </c>
      <c r="AZ3" s="4">
        <v>257</v>
      </c>
      <c r="BA3" s="4" t="s">
        <v>6</v>
      </c>
      <c r="BB3" s="4">
        <f>IF(BA3="G", AZ3*450*1.2*1.6, IF(BA3="D", AZ3*350*1.2*1.6, ""))</f>
        <v>172704</v>
      </c>
      <c r="BC3" s="3"/>
      <c r="BD3" s="3" t="s">
        <v>56</v>
      </c>
      <c r="BE3" s="3">
        <v>253</v>
      </c>
      <c r="BF3" s="3" t="s">
        <v>6</v>
      </c>
      <c r="BG3" s="4">
        <f>IF(BF3="G", BE3*450*1.2*1.6, IF(BF3="D", BE3*350*1.2*1.6, ""))</f>
        <v>170016</v>
      </c>
      <c r="BH3" s="3"/>
      <c r="BI3" s="3" t="s">
        <v>51</v>
      </c>
      <c r="BJ3" s="3">
        <v>257</v>
      </c>
      <c r="BK3" s="3" t="s">
        <v>6</v>
      </c>
      <c r="BL3" s="4">
        <f>IF(BK3="G", BJ3*450*1.2*1.6, IF(BK3="D", BJ3*350*1.2*1.6, ""))</f>
        <v>172704</v>
      </c>
      <c r="BM3"/>
      <c r="BN3" s="3" t="s">
        <v>55</v>
      </c>
      <c r="BO3" s="3">
        <v>192</v>
      </c>
      <c r="BP3" s="3" t="s">
        <v>6</v>
      </c>
      <c r="BQ3" s="4">
        <f t="shared" ref="BQ3:BQ4" si="2">IF(BP3="G", BO3*450*1.2*1.6, IF(BP3="D", BO3*350*1.2*1.6, ""))</f>
        <v>129024</v>
      </c>
      <c r="BR3"/>
      <c r="BS3" s="3" t="s">
        <v>81</v>
      </c>
      <c r="BT3" s="3">
        <v>268</v>
      </c>
      <c r="BU3" s="3" t="s">
        <v>6</v>
      </c>
      <c r="BV3" s="4">
        <f>IF(BU3="G", BT3*450*1.2*1.6, IF(BU3="D", BT3*350*1.2*1.6, ""))</f>
        <v>180096</v>
      </c>
      <c r="BW3"/>
      <c r="BX3" t="s">
        <v>48</v>
      </c>
      <c r="BY3" s="4">
        <v>261</v>
      </c>
      <c r="BZ3" s="4" t="s">
        <v>6</v>
      </c>
      <c r="CA3" s="4">
        <f>IF(BZ3="G", BY3*450*1.2*1.6, IF(BZ3="D", BY3*350*1*1.6, ""))</f>
        <v>146160</v>
      </c>
      <c r="CB3"/>
      <c r="CC3"/>
    </row>
    <row r="4" spans="1:86">
      <c r="A4" s="4" t="s">
        <v>4</v>
      </c>
      <c r="B4" s="4">
        <v>263</v>
      </c>
      <c r="C4" s="7" t="s">
        <v>6</v>
      </c>
      <c r="D4" s="3">
        <f t="shared" si="1"/>
        <v>176736</v>
      </c>
      <c r="E4" s="3"/>
      <c r="F4" s="7" t="s">
        <v>18</v>
      </c>
      <c r="G4" s="4">
        <v>254</v>
      </c>
      <c r="H4" s="7" t="s">
        <v>6</v>
      </c>
      <c r="I4" s="7">
        <f t="shared" si="0"/>
        <v>170688</v>
      </c>
      <c r="K4" s="3" t="s">
        <v>91</v>
      </c>
      <c r="L4" s="3">
        <v>239</v>
      </c>
      <c r="M4" s="3" t="s">
        <v>6</v>
      </c>
      <c r="N4" s="7">
        <f>IF(M4="G", L4*450*1.2*1.6, IF(M4="D", L4*350*1.2*1.6, ""))</f>
        <v>160608</v>
      </c>
      <c r="O4" s="3"/>
      <c r="P4" s="3" t="s">
        <v>62</v>
      </c>
      <c r="Q4" s="3">
        <v>234</v>
      </c>
      <c r="R4" s="3" t="s">
        <v>6</v>
      </c>
      <c r="S4" s="7">
        <f>IF(R4="G", Q4*450*1.2*1.6, IF(R4="D", Q4*350*1.2*1.6, ""))</f>
        <v>157248</v>
      </c>
      <c r="T4" s="3"/>
      <c r="U4" s="3" t="s">
        <v>58</v>
      </c>
      <c r="V4" s="3">
        <v>226</v>
      </c>
      <c r="W4" s="3" t="s">
        <v>6</v>
      </c>
      <c r="X4" s="7">
        <f>IF(W4="G", V4*450*1.2*1.6, IF(W4="D", V4*350*1.2*1.6, ""))</f>
        <v>151872</v>
      </c>
      <c r="Y4" s="3"/>
      <c r="Z4" s="3"/>
      <c r="AA4" s="3"/>
      <c r="AE4" s="4" t="s">
        <v>54</v>
      </c>
      <c r="AF4" s="4">
        <v>220</v>
      </c>
      <c r="AG4" s="4" t="s">
        <v>6</v>
      </c>
      <c r="AH4" s="4">
        <f>IF(AG4="G", AF4*450*1.2*1.6, IF(AG4="D", AF4*350*1*1.6, ""))</f>
        <v>123200</v>
      </c>
      <c r="AI4" s="3"/>
      <c r="AJ4" s="3" t="s">
        <v>25</v>
      </c>
      <c r="AK4" s="3">
        <v>171</v>
      </c>
      <c r="AL4" s="3" t="s">
        <v>6</v>
      </c>
      <c r="AM4" s="4">
        <f>IF(AL4="G", AK4*450*1.2*1.6, IF(AL4="D", AK4*350*1*1.6, ""))</f>
        <v>95760</v>
      </c>
      <c r="AO4" s="3" t="s">
        <v>54</v>
      </c>
      <c r="AP4" s="3">
        <v>220</v>
      </c>
      <c r="AQ4" s="3" t="s">
        <v>6</v>
      </c>
      <c r="AR4" s="4">
        <f>IF(AQ4="G", AP4*450*1.2*1.6, IF(AQ4="D", AP4*350*1*1.6, ""))</f>
        <v>123200</v>
      </c>
      <c r="AS4" s="3"/>
      <c r="AT4" s="3" t="s">
        <v>50</v>
      </c>
      <c r="AU4" s="3">
        <v>141</v>
      </c>
      <c r="AV4" s="3" t="s">
        <v>6</v>
      </c>
      <c r="AW4" s="4">
        <f>IF(AV4="G", AU4*450*1.2*1.6, IF(AV4="D", AU4*350*1.2*1.6, ""))</f>
        <v>94752</v>
      </c>
      <c r="AY4" s="3" t="s">
        <v>59</v>
      </c>
      <c r="AZ4" s="4">
        <v>255</v>
      </c>
      <c r="BA4" s="4" t="s">
        <v>6</v>
      </c>
      <c r="BB4" s="4">
        <f>IF(BA4="G", AZ4*450*1.2*1.6, IF(BA4="D", AZ4*350*1.2*1.6, ""))</f>
        <v>171360</v>
      </c>
      <c r="BC4" s="3"/>
      <c r="BD4" s="3" t="s">
        <v>64</v>
      </c>
      <c r="BE4" s="3">
        <v>241</v>
      </c>
      <c r="BF4" s="3" t="s">
        <v>6</v>
      </c>
      <c r="BG4" s="4">
        <f>IF(BF4="G", BE4*450*1.2*1.6, IF(BF4="D", BE4*350*1.2*1.6, ""))</f>
        <v>161952</v>
      </c>
      <c r="BH4" s="3"/>
      <c r="BI4" s="3" t="s">
        <v>53</v>
      </c>
      <c r="BJ4" s="3">
        <v>237</v>
      </c>
      <c r="BK4" s="3" t="s">
        <v>6</v>
      </c>
      <c r="BL4" s="4">
        <f>IF(BK4="G", BJ4*450*1.2*1.6, IF(BK4="D", BJ4*350*1.2*1.6, ""))</f>
        <v>159264</v>
      </c>
      <c r="BM4"/>
      <c r="BN4" s="3" t="s">
        <v>60</v>
      </c>
      <c r="BO4" s="3">
        <v>190</v>
      </c>
      <c r="BP4" s="3" t="s">
        <v>6</v>
      </c>
      <c r="BQ4" s="4">
        <f t="shared" si="2"/>
        <v>127680</v>
      </c>
      <c r="BR4"/>
      <c r="BS4" s="3" t="s">
        <v>82</v>
      </c>
      <c r="BT4" s="3">
        <v>228</v>
      </c>
      <c r="BU4" s="3" t="s">
        <v>6</v>
      </c>
      <c r="BV4" s="4">
        <f>IF(BU4="G", BT4*450*1.2*1.6, IF(BU4="D", BT4*350*1.2*1.6, ""))</f>
        <v>153216</v>
      </c>
      <c r="BW4"/>
      <c r="BX4" t="s">
        <v>25</v>
      </c>
      <c r="BY4" s="4">
        <v>171</v>
      </c>
      <c r="BZ4" s="4" t="s">
        <v>6</v>
      </c>
      <c r="CA4" s="4">
        <f>IF(BZ4="G", BY4*450*1.2*1.6, IF(BZ4="D", BY4*350*1*1.6, ""))</f>
        <v>95760</v>
      </c>
      <c r="CB4"/>
      <c r="CC4"/>
    </row>
    <row r="5" spans="1:86">
      <c r="A5" s="4" t="s">
        <v>7</v>
      </c>
      <c r="B5" s="4">
        <v>251</v>
      </c>
      <c r="C5" s="7" t="s">
        <v>6</v>
      </c>
      <c r="D5" s="3">
        <f t="shared" si="1"/>
        <v>168672</v>
      </c>
      <c r="E5" s="3"/>
      <c r="F5" s="7" t="s">
        <v>20</v>
      </c>
      <c r="G5" s="4">
        <v>220</v>
      </c>
      <c r="H5" s="7" t="s">
        <v>6</v>
      </c>
      <c r="I5" s="7">
        <f t="shared" si="0"/>
        <v>147840</v>
      </c>
      <c r="K5" s="3" t="s">
        <v>33</v>
      </c>
      <c r="L5" s="3">
        <v>198</v>
      </c>
      <c r="M5" s="3" t="s">
        <v>6</v>
      </c>
      <c r="N5" s="7">
        <f>IF(M5="G", L5*450*1.2*1.6, IF(M5="D", L5*350*1.2*1.6, ""))</f>
        <v>133056</v>
      </c>
      <c r="P5" s="3" t="s">
        <v>66</v>
      </c>
      <c r="Q5" s="3">
        <v>222</v>
      </c>
      <c r="R5" s="3" t="s">
        <v>6</v>
      </c>
      <c r="S5" s="7">
        <f>IF(R5="G", Q5*450*1.2*1.6, IF(R5="D", Q5*350*1.2*1.6, ""))</f>
        <v>149184</v>
      </c>
      <c r="T5" s="3"/>
      <c r="U5" s="3" t="s">
        <v>0</v>
      </c>
      <c r="V5" s="3">
        <v>223</v>
      </c>
      <c r="W5" s="3" t="s">
        <v>6</v>
      </c>
      <c r="X5" s="7">
        <f>IF(W5="G", V5*450*1.2*1.6, IF(W5="D", V5*350*1.2*1.6, ""))</f>
        <v>149856</v>
      </c>
      <c r="Y5" s="3"/>
      <c r="Z5" s="3"/>
      <c r="AA5" s="3"/>
      <c r="AE5" s="4" t="s">
        <v>84</v>
      </c>
      <c r="AF5" s="4">
        <v>207</v>
      </c>
      <c r="AG5" s="4" t="s">
        <v>6</v>
      </c>
      <c r="AH5" s="4">
        <f>IF(AG5="G", AF5*450*1.2*1.6, IF(AG5="D", AF5*350*1*1.6, ""))</f>
        <v>115920</v>
      </c>
      <c r="AI5" s="3"/>
      <c r="AJ5" s="3" t="s">
        <v>49</v>
      </c>
      <c r="AK5" s="3">
        <v>17</v>
      </c>
      <c r="AL5" s="3" t="s">
        <v>6</v>
      </c>
      <c r="AM5" s="4">
        <f>IF(AL5="G", AK5*450*1.2*1.6, IF(AL5="D", AK5*350*1.2*1.6, ""))</f>
        <v>11424</v>
      </c>
      <c r="AO5" s="3" t="s">
        <v>34</v>
      </c>
      <c r="AP5" s="3">
        <v>167</v>
      </c>
      <c r="AQ5" s="3" t="s">
        <v>6</v>
      </c>
      <c r="AR5" s="4">
        <f>IF(AQ5="G", AP5*450*1.2*1.6, IF(AQ5="D", AP5*350*1.2*1.6, ""))</f>
        <v>112224</v>
      </c>
      <c r="AS5" s="3"/>
      <c r="AT5" s="4"/>
      <c r="AU5" s="4"/>
      <c r="AV5" s="4"/>
      <c r="AY5" s="3" t="s">
        <v>88</v>
      </c>
      <c r="AZ5" s="4">
        <v>250</v>
      </c>
      <c r="BA5" s="4" t="s">
        <v>6</v>
      </c>
      <c r="BB5" s="4">
        <f>IF(BA5="G", AZ5*450*1.2*1.6, IF(BA5="D", AZ5*350*1.2*1.6, ""))</f>
        <v>168000</v>
      </c>
      <c r="BC5" s="3"/>
      <c r="BD5" s="3" t="s">
        <v>129</v>
      </c>
      <c r="BE5" s="3">
        <v>224</v>
      </c>
      <c r="BF5" s="3" t="s">
        <v>6</v>
      </c>
      <c r="BG5" s="4">
        <f>IF(BF5="G", BE5*450*1.2*1.6, IF(BF5="D", BE5*350*1.2*1.6, ""))</f>
        <v>150528</v>
      </c>
      <c r="BI5" s="3" t="s">
        <v>82</v>
      </c>
      <c r="BJ5" s="3">
        <v>228</v>
      </c>
      <c r="BK5" s="3" t="s">
        <v>6</v>
      </c>
      <c r="BL5" s="4">
        <f>IF(BK5="G", BJ5*450*1.2*1.6, IF(BK5="D", BJ5*350*1.2*1.6, ""))</f>
        <v>153216</v>
      </c>
      <c r="BM5"/>
      <c r="BN5"/>
      <c r="BO5"/>
      <c r="BS5" s="3" t="s">
        <v>0</v>
      </c>
      <c r="BT5" s="3">
        <v>223</v>
      </c>
      <c r="BU5" s="3" t="s">
        <v>6</v>
      </c>
      <c r="BV5" s="4">
        <f>IF(BU5="G", BT5*450*1.2*1.6, IF(BU5="D", BT5*350*1*1.6, ""))</f>
        <v>124880</v>
      </c>
      <c r="BX5" t="s">
        <v>50</v>
      </c>
      <c r="BY5" s="4">
        <v>141</v>
      </c>
      <c r="BZ5" s="4" t="s">
        <v>6</v>
      </c>
      <c r="CA5" s="4">
        <f>IF(BZ5="G", BY5*450*1.2*1.6, IF(BZ5="D", BY5*350*1.2*1.6, ""))</f>
        <v>94752</v>
      </c>
      <c r="CB5"/>
      <c r="CC5"/>
    </row>
    <row r="6" spans="1:86">
      <c r="A6" s="4" t="s">
        <v>8</v>
      </c>
      <c r="B6" s="4">
        <v>238</v>
      </c>
      <c r="C6" s="7" t="s">
        <v>6</v>
      </c>
      <c r="D6" s="3">
        <f t="shared" si="1"/>
        <v>159936</v>
      </c>
      <c r="F6" s="7" t="s">
        <v>25</v>
      </c>
      <c r="G6" s="4">
        <v>171</v>
      </c>
      <c r="H6" s="7" t="s">
        <v>5</v>
      </c>
      <c r="I6" s="7">
        <f t="shared" si="0"/>
        <v>147744</v>
      </c>
      <c r="K6" s="3" t="s">
        <v>67</v>
      </c>
      <c r="L6" s="3">
        <v>160</v>
      </c>
      <c r="M6" s="3" t="s">
        <v>6</v>
      </c>
      <c r="N6" s="7">
        <f>IF(M6="G", L6*450*1*1.6, IF(M6="D", L6*350*1*1.6, ""))</f>
        <v>89600</v>
      </c>
      <c r="P6" s="3" t="s">
        <v>69</v>
      </c>
      <c r="Q6" s="3">
        <v>193</v>
      </c>
      <c r="R6" s="3" t="s">
        <v>6</v>
      </c>
      <c r="S6" s="7">
        <f>IF(R6="G", Q6*450*1.2*1.6, IF(R6="D", Q6*350*1.2*1.6, ""))</f>
        <v>129696</v>
      </c>
      <c r="T6" s="3"/>
      <c r="U6" s="3" t="s">
        <v>61</v>
      </c>
      <c r="V6" s="3">
        <v>163</v>
      </c>
      <c r="W6" s="3" t="s">
        <v>6</v>
      </c>
      <c r="X6" s="7">
        <f>IF(W6="G", V6*450*1.2*1.6, IF(W6="D", V6*350*1.2*1.6, ""))</f>
        <v>109536</v>
      </c>
      <c r="Y6" s="3"/>
      <c r="Z6" s="3"/>
      <c r="AA6" s="3"/>
      <c r="AE6" s="4" t="s">
        <v>61</v>
      </c>
      <c r="AF6" s="4">
        <v>163</v>
      </c>
      <c r="AG6" s="4" t="s">
        <v>6</v>
      </c>
      <c r="AH6" s="4">
        <f>IF(AG6="G", AF6*450*1.2*1.6, IF(AG6="D", AF6*350*1*1.6, ""))</f>
        <v>91280</v>
      </c>
      <c r="AI6" s="3"/>
      <c r="AN6" s="3"/>
      <c r="AO6" s="3" t="s">
        <v>52</v>
      </c>
      <c r="AP6" s="3">
        <v>181</v>
      </c>
      <c r="AQ6" s="3" t="s">
        <v>6</v>
      </c>
      <c r="AR6" s="4">
        <f>IF(AQ6="G", AP6*450*1.2*1.6, IF(AQ6="D", AP6*350*1*1.6, ""))</f>
        <v>101360</v>
      </c>
      <c r="AS6" s="3"/>
      <c r="AT6" s="4"/>
      <c r="AU6" s="4"/>
      <c r="AV6" s="4"/>
      <c r="AY6" s="3" t="s">
        <v>19</v>
      </c>
      <c r="AZ6" s="4">
        <v>240</v>
      </c>
      <c r="BA6" s="4" t="s">
        <v>6</v>
      </c>
      <c r="BB6" s="4">
        <f>IF(BA6="G", AZ6*450*1.2*1.6, IF(BA6="D", AZ6*350*1*1.6, ""))</f>
        <v>134400</v>
      </c>
      <c r="BC6" s="3"/>
      <c r="BD6" s="3"/>
      <c r="BE6" s="3"/>
      <c r="BF6" s="3"/>
      <c r="BI6" s="3" t="s">
        <v>24</v>
      </c>
      <c r="BJ6" s="3">
        <v>175</v>
      </c>
      <c r="BK6" s="3" t="s">
        <v>6</v>
      </c>
      <c r="BL6" s="4">
        <f>IF(BK6="G", BJ6*450*1.2*1.6, IF(BK6="D", BJ6*350*1*1.6, ""))</f>
        <v>98000</v>
      </c>
      <c r="BM6"/>
      <c r="BN6"/>
      <c r="BO6"/>
      <c r="BX6" t="s">
        <v>67</v>
      </c>
      <c r="BY6" s="4">
        <v>160</v>
      </c>
      <c r="BZ6" s="4" t="s">
        <v>6</v>
      </c>
      <c r="CA6" s="4">
        <f>IF(BZ6="G", BY6*450*1.2*1.6, IF(BZ6="D", BY6*350*1*1.6, ""))</f>
        <v>89600</v>
      </c>
      <c r="CB6"/>
      <c r="CC6"/>
    </row>
    <row r="7" spans="1:86">
      <c r="A7" s="4" t="s">
        <v>133</v>
      </c>
      <c r="B7" s="4">
        <v>238</v>
      </c>
      <c r="C7" s="7" t="s">
        <v>6</v>
      </c>
      <c r="D7" s="3">
        <f t="shared" si="1"/>
        <v>159936</v>
      </c>
      <c r="F7" s="7" t="s">
        <v>26</v>
      </c>
      <c r="G7" s="4">
        <v>207</v>
      </c>
      <c r="H7" s="7" t="s">
        <v>6</v>
      </c>
      <c r="I7" s="7">
        <f t="shared" si="0"/>
        <v>139104</v>
      </c>
      <c r="P7" s="3" t="s">
        <v>54</v>
      </c>
      <c r="Q7" s="3">
        <v>220</v>
      </c>
      <c r="R7" s="3" t="s">
        <v>6</v>
      </c>
      <c r="S7" s="7">
        <f>IF(R7="G", Q7*450*1.2*1.6, IF(R7="D", Q7*350*1*1.6, ""))</f>
        <v>123200</v>
      </c>
      <c r="U7" s="3"/>
      <c r="V7" s="3"/>
      <c r="W7" s="3"/>
      <c r="X7" s="7"/>
      <c r="AE7" s="4" t="s">
        <v>67</v>
      </c>
      <c r="AF7" s="4">
        <v>160</v>
      </c>
      <c r="AG7" s="4" t="s">
        <v>6</v>
      </c>
      <c r="AH7" s="4">
        <f>IF(AG7="G", AF7*450*1.2*1.6, IF(AG7="D", AF7*350*1*1.6, ""))</f>
        <v>89600</v>
      </c>
      <c r="AI7" s="3"/>
      <c r="AJ7" s="3"/>
      <c r="AO7" s="3" t="s">
        <v>49</v>
      </c>
      <c r="AP7" s="3">
        <v>17</v>
      </c>
      <c r="AQ7" s="3" t="s">
        <v>6</v>
      </c>
      <c r="AR7" s="4">
        <f>IF(AQ7="G", AP7*450*1.2*1.6, IF(AQ7="D", AP7*350*1.2*1.6, ""))</f>
        <v>11424</v>
      </c>
      <c r="AT7" s="4"/>
      <c r="AU7" s="4"/>
      <c r="AV7" s="4"/>
      <c r="AY7" s="3" t="s">
        <v>62</v>
      </c>
      <c r="AZ7" s="4">
        <v>234</v>
      </c>
      <c r="BA7" s="4" t="s">
        <v>6</v>
      </c>
      <c r="BB7" s="4">
        <f>IF(BA7="G", AZ7*450*1.2*1.6, IF(BA7="D", AZ7*350*1*1.6, ""))</f>
        <v>131040</v>
      </c>
      <c r="BC7" s="3"/>
      <c r="BD7" s="3"/>
      <c r="BE7" s="3"/>
      <c r="BF7" s="3"/>
      <c r="BI7" s="3" t="s">
        <v>34</v>
      </c>
      <c r="BJ7" s="3">
        <v>167</v>
      </c>
      <c r="BK7" s="3" t="s">
        <v>6</v>
      </c>
      <c r="BL7" s="4">
        <f>IF(BK7="G", BJ7*450*1.2*1.6, IF(BK7="D", BJ7*350*1*1.6, ""))</f>
        <v>93520</v>
      </c>
      <c r="BM7"/>
      <c r="BN7"/>
      <c r="BO7"/>
    </row>
    <row r="8" spans="1:86">
      <c r="A8" s="4" t="s">
        <v>132</v>
      </c>
      <c r="B8" s="4">
        <v>223</v>
      </c>
      <c r="C8" s="7" t="s">
        <v>6</v>
      </c>
      <c r="D8" s="3">
        <f t="shared" si="1"/>
        <v>149856</v>
      </c>
      <c r="F8" s="7" t="s">
        <v>31</v>
      </c>
      <c r="G8" s="4">
        <v>186</v>
      </c>
      <c r="H8" s="7" t="s">
        <v>6</v>
      </c>
      <c r="I8" s="7">
        <f t="shared" si="0"/>
        <v>124992</v>
      </c>
      <c r="P8" s="3" t="s">
        <v>68</v>
      </c>
      <c r="Q8" s="3">
        <v>159</v>
      </c>
      <c r="R8" s="3" t="s">
        <v>6</v>
      </c>
      <c r="S8" s="7">
        <f>IF(R8="G", Q8*450*1.2*1.6, IF(R8="D", Q8*350*1*1.6, ""))</f>
        <v>89040</v>
      </c>
      <c r="U8" s="3"/>
      <c r="V8" s="3"/>
      <c r="W8" s="3"/>
      <c r="X8" s="7"/>
      <c r="AE8" s="3"/>
      <c r="AT8" s="4"/>
      <c r="AU8" s="4"/>
      <c r="AV8" s="4"/>
      <c r="AY8" s="3" t="s">
        <v>58</v>
      </c>
      <c r="AZ8" s="4">
        <v>226</v>
      </c>
      <c r="BA8" s="4" t="s">
        <v>6</v>
      </c>
      <c r="BB8" s="4">
        <f>IF(BA8="G", AZ8*450*1.2*1.6, IF(BA8="D", AZ8*350*1*1.6, ""))</f>
        <v>126560</v>
      </c>
      <c r="BC8" s="3"/>
      <c r="BD8" s="3"/>
      <c r="BE8" s="3"/>
      <c r="BF8" s="3"/>
      <c r="BI8" s="3" t="s">
        <v>63</v>
      </c>
      <c r="BJ8" s="3">
        <v>129</v>
      </c>
      <c r="BK8" s="3" t="s">
        <v>6</v>
      </c>
      <c r="BL8" s="4">
        <f>IF(BK8="G", BJ8*450*1.2*1.6, IF(BK8="D", BJ8*350*1*1.6, ""))</f>
        <v>72240</v>
      </c>
      <c r="BM8"/>
      <c r="BN8"/>
      <c r="BO8"/>
    </row>
    <row r="9" spans="1:86">
      <c r="A9" s="4" t="s">
        <v>14</v>
      </c>
      <c r="B9" s="4">
        <v>170</v>
      </c>
      <c r="C9" s="7" t="s">
        <v>6</v>
      </c>
      <c r="D9" s="3">
        <f t="shared" si="1"/>
        <v>114240</v>
      </c>
      <c r="F9" s="7" t="s">
        <v>22</v>
      </c>
      <c r="G9" s="4">
        <v>181</v>
      </c>
      <c r="H9" s="7" t="s">
        <v>6</v>
      </c>
      <c r="I9" s="7">
        <f t="shared" si="0"/>
        <v>121632</v>
      </c>
      <c r="AE9" s="3"/>
      <c r="AT9" s="4"/>
      <c r="AU9" s="4"/>
      <c r="AV9" s="4"/>
      <c r="AY9" s="3" t="s">
        <v>61</v>
      </c>
      <c r="AZ9" s="4">
        <v>163</v>
      </c>
      <c r="BA9" s="4" t="s">
        <v>6</v>
      </c>
      <c r="BB9" s="4">
        <f>IF(BA9="G", AZ9*450*1.2*1.6, IF(BA9="D", AZ9*350*1.2*1.6, ""))</f>
        <v>109536</v>
      </c>
      <c r="BC9" s="3"/>
      <c r="BD9" s="3"/>
      <c r="BE9" s="3"/>
      <c r="BF9" s="3"/>
    </row>
    <row r="10" spans="1:86">
      <c r="A10" s="4" t="s">
        <v>12</v>
      </c>
      <c r="B10" s="4">
        <v>158</v>
      </c>
      <c r="C10" s="7" t="s">
        <v>6</v>
      </c>
      <c r="D10" s="3">
        <f t="shared" si="1"/>
        <v>106176</v>
      </c>
      <c r="F10" s="7" t="s">
        <v>23</v>
      </c>
      <c r="G10" s="4">
        <v>180</v>
      </c>
      <c r="H10" s="7" t="s">
        <v>6</v>
      </c>
      <c r="I10" s="7">
        <f t="shared" si="0"/>
        <v>120960</v>
      </c>
      <c r="AE10" s="3"/>
      <c r="AT10" s="4"/>
      <c r="AU10" s="4"/>
      <c r="AV10" s="4"/>
      <c r="AY10" s="3"/>
      <c r="BD10" s="3"/>
      <c r="BE10" s="3"/>
      <c r="BF10" s="3"/>
    </row>
    <row r="11" spans="1:86">
      <c r="A11" s="4" t="s">
        <v>13</v>
      </c>
      <c r="B11" s="4">
        <v>153</v>
      </c>
      <c r="C11" s="7" t="s">
        <v>6</v>
      </c>
      <c r="D11" s="3">
        <f t="shared" si="1"/>
        <v>102816</v>
      </c>
      <c r="F11" s="7" t="s">
        <v>24</v>
      </c>
      <c r="G11" s="4">
        <v>175</v>
      </c>
      <c r="H11" s="7" t="s">
        <v>6</v>
      </c>
      <c r="I11" s="7">
        <f t="shared" si="0"/>
        <v>117600</v>
      </c>
      <c r="AE11" s="3"/>
      <c r="AT11" s="3"/>
      <c r="AU11" s="3"/>
      <c r="AV11" s="3"/>
      <c r="AY11" s="3"/>
      <c r="BD11" s="3"/>
      <c r="BE11" s="3"/>
      <c r="BF11" s="3"/>
      <c r="BX11" s="3"/>
      <c r="CA11" s="3"/>
      <c r="CB11" s="3"/>
    </row>
    <row r="12" spans="1:86">
      <c r="A12" s="4" t="s">
        <v>15</v>
      </c>
      <c r="B12" s="4">
        <v>132</v>
      </c>
      <c r="C12" s="7" t="s">
        <v>6</v>
      </c>
      <c r="D12" s="3">
        <f t="shared" si="1"/>
        <v>88704</v>
      </c>
      <c r="F12" s="7" t="s">
        <v>25</v>
      </c>
      <c r="G12" s="4">
        <v>171</v>
      </c>
      <c r="H12" s="7" t="s">
        <v>6</v>
      </c>
      <c r="I12" s="7">
        <f t="shared" si="0"/>
        <v>114912</v>
      </c>
      <c r="AE12" s="4"/>
      <c r="AH12" s="4"/>
      <c r="AI12" s="4"/>
      <c r="AJ12" s="73"/>
      <c r="AT12" s="3"/>
      <c r="AU12" s="3"/>
      <c r="AV12" s="3"/>
      <c r="AY12" s="3"/>
      <c r="BD12" s="3"/>
      <c r="BE12" s="3"/>
      <c r="BF12" s="3"/>
      <c r="BX12" s="3"/>
      <c r="CA12" s="3"/>
      <c r="CB12" s="3"/>
    </row>
    <row r="13" spans="1:86">
      <c r="A13" s="4" t="s">
        <v>16</v>
      </c>
      <c r="B13" s="4">
        <v>116</v>
      </c>
      <c r="C13" s="7" t="s">
        <v>6</v>
      </c>
      <c r="D13" s="3">
        <f t="shared" si="1"/>
        <v>77952</v>
      </c>
      <c r="F13" s="7" t="s">
        <v>21</v>
      </c>
      <c r="G13" s="4">
        <v>155</v>
      </c>
      <c r="H13" s="7" t="s">
        <v>6</v>
      </c>
      <c r="I13" s="7">
        <f t="shared" si="0"/>
        <v>104160</v>
      </c>
      <c r="AE13" s="4"/>
      <c r="AH13" s="4"/>
      <c r="AI13" s="4"/>
      <c r="AT13" s="3"/>
      <c r="AU13" s="3"/>
      <c r="AV13" s="3"/>
      <c r="AY13" s="4"/>
      <c r="BD13" s="3"/>
      <c r="BE13" s="3"/>
      <c r="BF13" s="3"/>
      <c r="BX13" s="3"/>
      <c r="CA13" s="3"/>
      <c r="CB13" s="3"/>
    </row>
    <row r="14" spans="1:86">
      <c r="F14" s="7" t="s">
        <v>27</v>
      </c>
      <c r="G14" s="4">
        <v>136</v>
      </c>
      <c r="H14" s="7" t="s">
        <v>6</v>
      </c>
      <c r="I14" s="7">
        <f t="shared" si="0"/>
        <v>91392</v>
      </c>
      <c r="AE14" s="4"/>
      <c r="AH14" s="4"/>
      <c r="AI14" s="4"/>
      <c r="AJ14" s="72"/>
      <c r="AK14" s="72"/>
      <c r="AL14" s="72"/>
      <c r="AM14" s="72"/>
      <c r="AT14" s="3"/>
      <c r="AU14" s="3"/>
      <c r="AV14" s="3"/>
      <c r="AY14" s="3"/>
      <c r="BB14" s="3"/>
      <c r="BC14" s="3"/>
      <c r="BD14" s="3"/>
      <c r="BE14" s="3"/>
      <c r="BF14" s="3"/>
      <c r="BX14"/>
      <c r="CA14" s="3"/>
      <c r="CB14" s="3"/>
    </row>
    <row r="15" spans="1:86">
      <c r="F15" s="7" t="s">
        <v>28</v>
      </c>
      <c r="G15" s="4">
        <v>132</v>
      </c>
      <c r="H15" s="7" t="s">
        <v>6</v>
      </c>
      <c r="I15" s="7">
        <f t="shared" si="0"/>
        <v>88704</v>
      </c>
      <c r="AE15" s="4"/>
      <c r="AH15" s="4"/>
      <c r="AI15" s="4"/>
      <c r="AT15" s="3"/>
      <c r="AU15" s="3"/>
      <c r="AV15" s="3"/>
      <c r="AY15" s="3"/>
      <c r="BB15" s="3"/>
      <c r="BC15" s="3"/>
      <c r="BD15" s="3"/>
      <c r="BE15" s="3"/>
      <c r="BF15" s="3"/>
      <c r="BX15"/>
      <c r="CA15" s="3"/>
      <c r="CB15" s="3"/>
    </row>
    <row r="16" spans="1:86">
      <c r="F16" s="7" t="s">
        <v>29</v>
      </c>
      <c r="G16" s="4">
        <v>126</v>
      </c>
      <c r="H16" s="7" t="s">
        <v>6</v>
      </c>
      <c r="I16" s="7">
        <f t="shared" si="0"/>
        <v>84672</v>
      </c>
      <c r="W16" s="106"/>
      <c r="X16" s="106"/>
      <c r="Y16" s="106"/>
      <c r="Z16" s="106"/>
      <c r="AE16" s="4"/>
      <c r="AH16" s="4"/>
      <c r="AI16" s="4"/>
      <c r="AT16" s="3"/>
      <c r="AU16" s="3"/>
      <c r="AV16" s="3"/>
      <c r="AY16" s="3"/>
      <c r="BB16" s="3"/>
      <c r="BC16" s="3"/>
      <c r="BD16" s="3"/>
      <c r="BE16" s="3"/>
      <c r="BF16" s="3"/>
      <c r="BX16"/>
      <c r="CA16" s="3"/>
      <c r="CB16" s="3"/>
    </row>
    <row r="17" spans="6:80">
      <c r="F17" s="7" t="s">
        <v>30</v>
      </c>
      <c r="G17" s="4">
        <v>94</v>
      </c>
      <c r="H17" s="7" t="s">
        <v>6</v>
      </c>
      <c r="I17" s="7">
        <f t="shared" si="0"/>
        <v>63168</v>
      </c>
      <c r="AE17" s="4"/>
      <c r="AH17" s="4"/>
      <c r="AI17" s="4"/>
      <c r="AT17" s="3"/>
      <c r="AU17" s="3"/>
      <c r="AV17" s="3"/>
      <c r="AY17" s="3"/>
      <c r="BB17" s="3"/>
      <c r="BC17" s="3"/>
      <c r="BD17" s="4"/>
      <c r="BE17" s="4"/>
      <c r="BF17" s="4"/>
      <c r="BX17"/>
      <c r="CA17" s="3"/>
      <c r="CB17" s="3"/>
    </row>
    <row r="18" spans="6:80">
      <c r="F18" s="3"/>
      <c r="AE18" s="3"/>
      <c r="AH18" s="3"/>
      <c r="AI18" s="3"/>
      <c r="AT18" s="3"/>
      <c r="AU18" s="3"/>
      <c r="AV18" s="3"/>
      <c r="AY18" s="3"/>
      <c r="BB18" s="3"/>
      <c r="BC18" s="3"/>
      <c r="BD18" s="4"/>
      <c r="BE18" s="4"/>
      <c r="BF18" s="4"/>
      <c r="BX18"/>
      <c r="CA18" s="3"/>
      <c r="CB18" s="3"/>
    </row>
    <row r="19" spans="6:80">
      <c r="AE19" s="3"/>
      <c r="AH19" s="3"/>
      <c r="AI19" s="3"/>
      <c r="AT19" s="3"/>
      <c r="AU19" s="3"/>
      <c r="AV19" s="3"/>
      <c r="AY19" s="3"/>
      <c r="BB19" s="3"/>
      <c r="BC19" s="3"/>
      <c r="BD19" s="4"/>
      <c r="BE19" s="4"/>
      <c r="BF19" s="4"/>
      <c r="BX19" s="3"/>
      <c r="CA19" s="3"/>
      <c r="CB19" s="3"/>
    </row>
    <row r="20" spans="6:80">
      <c r="AE20" s="3"/>
      <c r="AH20" s="3"/>
      <c r="AI20" s="3"/>
      <c r="AT20" s="3"/>
      <c r="AU20" s="3"/>
      <c r="AV20" s="3"/>
      <c r="AY20" s="3"/>
      <c r="BB20" s="3"/>
      <c r="BC20" s="3"/>
      <c r="BD20" s="4"/>
      <c r="BE20" s="4"/>
      <c r="BF20" s="4"/>
    </row>
    <row r="21" spans="6:80">
      <c r="AE21" s="3"/>
      <c r="AH21" s="3"/>
      <c r="AI21" s="3"/>
      <c r="AY21" s="3"/>
      <c r="BB21" s="3"/>
      <c r="BC21" s="3"/>
      <c r="BD21" s="4"/>
      <c r="BE21" s="4"/>
      <c r="BF21" s="4"/>
    </row>
    <row r="22" spans="6:80">
      <c r="AE22" s="3"/>
      <c r="AH22" s="3"/>
      <c r="AI22" s="3"/>
      <c r="AY22" s="3"/>
      <c r="BB22" s="3"/>
      <c r="BC22" s="3"/>
      <c r="BD22" s="4"/>
      <c r="BE22" s="4"/>
      <c r="BF22" s="4"/>
    </row>
    <row r="23" spans="6:80">
      <c r="AE23" s="3"/>
      <c r="AH23" s="3"/>
      <c r="AI23" s="3"/>
      <c r="AY23" s="3"/>
      <c r="BB23" s="3"/>
      <c r="BC23" s="3"/>
      <c r="BD23" s="3"/>
      <c r="BE23" s="3"/>
      <c r="BF23" s="3"/>
    </row>
    <row r="24" spans="6:80">
      <c r="AE24" s="3"/>
      <c r="AH24" s="3"/>
      <c r="AI24" s="3"/>
      <c r="AY24" s="3"/>
      <c r="BB24" s="3"/>
      <c r="BC24" s="3"/>
      <c r="BD24" s="3"/>
      <c r="BE24" s="3"/>
      <c r="BF24" s="3"/>
    </row>
    <row r="25" spans="6:80">
      <c r="AE25" s="3"/>
      <c r="AH25" s="3"/>
      <c r="AI25" s="3"/>
      <c r="AY25" s="3"/>
      <c r="BB25" s="3"/>
      <c r="BC25" s="3"/>
      <c r="BD25" s="3"/>
      <c r="BE25" s="3"/>
      <c r="BF25" s="3"/>
    </row>
    <row r="26" spans="6:80">
      <c r="AE26" s="3"/>
      <c r="AH26" s="3"/>
      <c r="AI26" s="3"/>
      <c r="AY26" s="3"/>
      <c r="BB26" s="3"/>
      <c r="BC26" s="3"/>
      <c r="BD26" s="3"/>
      <c r="BE26" s="3"/>
      <c r="BF26" s="3"/>
    </row>
    <row r="27" spans="6:80">
      <c r="AE27" s="3"/>
      <c r="AH27" s="3"/>
      <c r="AI27" s="3"/>
      <c r="AY27" s="3"/>
      <c r="BB27" s="3"/>
      <c r="BC27" s="3"/>
      <c r="BD27" s="3"/>
      <c r="BE27" s="3"/>
      <c r="BF27" s="3"/>
    </row>
    <row r="28" spans="6:80">
      <c r="AE28" s="3"/>
      <c r="AH28" s="3"/>
      <c r="AI28" s="3"/>
      <c r="AY28" s="3"/>
      <c r="BB28" s="3"/>
      <c r="BC28" s="3"/>
      <c r="BD28" s="3"/>
      <c r="BE28" s="3"/>
      <c r="BF28" s="3"/>
    </row>
    <row r="29" spans="6:80">
      <c r="AE29" s="3"/>
      <c r="AH29" s="3"/>
      <c r="AI29" s="3"/>
      <c r="AY29" s="3"/>
      <c r="BB29" s="3"/>
      <c r="BC29" s="3"/>
      <c r="BD29" s="3"/>
      <c r="BE29" s="3"/>
      <c r="BF29" s="3"/>
    </row>
    <row r="30" spans="6:80">
      <c r="AE30" s="3"/>
      <c r="AH30" s="3"/>
      <c r="AI30" s="3"/>
      <c r="AY30" s="3"/>
      <c r="BB30" s="3"/>
      <c r="BC30" s="3"/>
      <c r="BD30" s="3"/>
      <c r="BE30" s="3"/>
      <c r="BF30" s="3"/>
    </row>
    <row r="31" spans="6:80">
      <c r="AY31" s="3"/>
      <c r="BB31" s="3"/>
      <c r="BC31" s="3"/>
      <c r="BD31" s="3"/>
      <c r="BE31" s="3"/>
      <c r="BF31" s="3"/>
    </row>
    <row r="32" spans="6:80">
      <c r="AY32" s="3"/>
      <c r="BB32" s="3"/>
      <c r="BC32" s="3"/>
      <c r="BD32" s="3"/>
      <c r="BE32" s="3"/>
      <c r="BF32" s="3"/>
    </row>
    <row r="33" spans="51:55">
      <c r="AY33" s="3"/>
      <c r="BB33" s="3"/>
      <c r="BC33" s="3"/>
    </row>
    <row r="34" spans="51:55">
      <c r="AY34" s="3"/>
      <c r="BB34" s="3"/>
      <c r="BC34" s="3"/>
    </row>
    <row r="35" spans="51:55">
      <c r="AY35" s="3"/>
      <c r="BB35" s="3"/>
      <c r="BC35" s="3"/>
    </row>
  </sheetData>
  <sortState xmlns:xlrd2="http://schemas.microsoft.com/office/spreadsheetml/2017/richdata2" ref="BS2:BV5">
    <sortCondition descending="1" ref="BV2:BV5"/>
  </sortState>
  <mergeCells count="1">
    <mergeCell ref="W16:Z16"/>
  </mergeCells>
  <phoneticPr fontId="1" type="noConversion"/>
  <pageMargins left="0.7" right="0.7" top="0.75" bottom="0.75" header="0.3" footer="0.3"/>
  <pageSetup paperSize="9" fitToWidth="0" fitToHeight="0" orientation="portrait" horizontalDpi="300" verticalDpi="300" r:id="rId1"/>
  <ignoredErrors>
    <ignoredError sqref="AR5 CA5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C84B6-8640-4CBE-9F6C-9081DCD65F33}">
  <dimension ref="A1:G15"/>
  <sheetViews>
    <sheetView workbookViewId="0">
      <selection activeCell="H6" sqref="G6:H18"/>
    </sheetView>
  </sheetViews>
  <sheetFormatPr defaultRowHeight="16.2"/>
  <cols>
    <col min="1" max="1" width="10" bestFit="1" customWidth="1"/>
    <col min="3" max="3" width="10" bestFit="1" customWidth="1"/>
  </cols>
  <sheetData>
    <row r="1" spans="1:7">
      <c r="A1" s="58">
        <v>45960</v>
      </c>
      <c r="B1" s="58"/>
      <c r="C1" s="58">
        <v>45961</v>
      </c>
      <c r="D1" s="58"/>
      <c r="E1" s="58">
        <v>45962</v>
      </c>
      <c r="F1" s="58"/>
      <c r="G1" s="58"/>
    </row>
    <row r="2" spans="1:7">
      <c r="A2">
        <v>1300</v>
      </c>
      <c r="C2">
        <v>1320</v>
      </c>
      <c r="E2">
        <f>C4</f>
        <v>1190</v>
      </c>
      <c r="F2" t="s">
        <v>101</v>
      </c>
    </row>
    <row r="3" spans="1:7">
      <c r="A3">
        <f>A2+300</f>
        <v>1600</v>
      </c>
      <c r="B3" t="s">
        <v>115</v>
      </c>
      <c r="C3">
        <f>C2+120</f>
        <v>1440</v>
      </c>
      <c r="D3" t="s">
        <v>102</v>
      </c>
      <c r="E3">
        <f>E2+300</f>
        <v>1490</v>
      </c>
      <c r="F3" t="s">
        <v>127</v>
      </c>
    </row>
    <row r="4" spans="1:7">
      <c r="A4">
        <f>A3-1400</f>
        <v>200</v>
      </c>
      <c r="B4" t="s">
        <v>113</v>
      </c>
      <c r="C4">
        <f>C3-250</f>
        <v>1190</v>
      </c>
      <c r="D4" t="s">
        <v>116</v>
      </c>
      <c r="E4">
        <f>E3+600</f>
        <v>2090</v>
      </c>
      <c r="F4" t="s">
        <v>104</v>
      </c>
    </row>
    <row r="5" spans="1:7">
      <c r="A5">
        <f>A4+480</f>
        <v>680</v>
      </c>
      <c r="B5" t="s">
        <v>114</v>
      </c>
      <c r="E5">
        <f>E4-800</f>
        <v>1290</v>
      </c>
      <c r="F5" t="s">
        <v>105</v>
      </c>
    </row>
    <row r="6" spans="1:7">
      <c r="A6">
        <f>A5+300</f>
        <v>980</v>
      </c>
      <c r="B6" t="s">
        <v>115</v>
      </c>
      <c r="E6">
        <f>E5+600</f>
        <v>1890</v>
      </c>
      <c r="F6" t="s">
        <v>104</v>
      </c>
    </row>
    <row r="7" spans="1:7">
      <c r="E7">
        <f>E6-800</f>
        <v>1090</v>
      </c>
      <c r="F7" t="s">
        <v>106</v>
      </c>
    </row>
    <row r="8" spans="1:7">
      <c r="E8">
        <f>E7+820</f>
        <v>1910</v>
      </c>
      <c r="F8" t="s">
        <v>103</v>
      </c>
    </row>
    <row r="9" spans="1:7">
      <c r="E9">
        <f>E8-800</f>
        <v>1110</v>
      </c>
      <c r="F9" t="s">
        <v>107</v>
      </c>
    </row>
    <row r="10" spans="1:7">
      <c r="E10">
        <f>E9+820</f>
        <v>1930</v>
      </c>
      <c r="F10" t="s">
        <v>103</v>
      </c>
    </row>
    <row r="11" spans="1:7">
      <c r="E11">
        <f>E10-800</f>
        <v>1130</v>
      </c>
      <c r="F11" t="s">
        <v>108</v>
      </c>
    </row>
    <row r="12" spans="1:7">
      <c r="E12">
        <f>E11+1500</f>
        <v>2630</v>
      </c>
      <c r="F12" t="s">
        <v>110</v>
      </c>
    </row>
    <row r="13" spans="1:7">
      <c r="E13">
        <f>E12-800</f>
        <v>1830</v>
      </c>
      <c r="F13" t="s">
        <v>109</v>
      </c>
    </row>
    <row r="14" spans="1:7">
      <c r="E14">
        <f>E13-800</f>
        <v>1030</v>
      </c>
      <c r="F14" t="s">
        <v>111</v>
      </c>
    </row>
    <row r="15" spans="1:7">
      <c r="E15">
        <f>E14-800</f>
        <v>230</v>
      </c>
      <c r="F15" t="s">
        <v>112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E5 E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攻守數據</vt:lpstr>
      <vt:lpstr>數據</vt:lpstr>
      <vt:lpstr>屬性克制表</vt:lpstr>
      <vt:lpstr>極巨傷害</vt:lpstr>
      <vt:lpstr>能量點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游子寬</dc:creator>
  <cp:lastModifiedBy>游子寬</cp:lastModifiedBy>
  <dcterms:created xsi:type="dcterms:W3CDTF">2025-05-20T04:34:18Z</dcterms:created>
  <dcterms:modified xsi:type="dcterms:W3CDTF">2025-12-04T14:53:35Z</dcterms:modified>
</cp:coreProperties>
</file>