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寶可夢\"/>
    </mc:Choice>
  </mc:AlternateContent>
  <xr:revisionPtr revIDLastSave="0" documentId="13_ncr:1_{998566EF-C23A-4F50-BDE1-2C6B4A971F70}" xr6:coauthVersionLast="47" xr6:coauthVersionMax="47" xr10:uidLastSave="{00000000-0000-0000-0000-000000000000}"/>
  <bookViews>
    <workbookView xWindow="18520" yWindow="0" windowWidth="7080" windowHeight="13800" firstSheet="2" activeTab="2" xr2:uid="{B8AEFEAE-C129-4A29-8774-15D85CE004F6}"/>
  </bookViews>
  <sheets>
    <sheet name="攻守數據" sheetId="6" r:id="rId1"/>
    <sheet name="數據" sheetId="3" r:id="rId2"/>
    <sheet name="屬性克制表" sheetId="7" r:id="rId3"/>
    <sheet name="極巨傷害" sheetId="1" r:id="rId4"/>
    <sheet name="能量點" sheetId="2" r:id="rId5"/>
    <sheet name="寶可夢圖鑑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160" i="7" l="1"/>
  <c r="AR160" i="7" s="1"/>
  <c r="AP161" i="7"/>
  <c r="AR161" i="7" s="1"/>
  <c r="AP162" i="7"/>
  <c r="AR162" i="7" s="1"/>
  <c r="AP163" i="7"/>
  <c r="AR163" i="7" s="1"/>
  <c r="AP154" i="7"/>
  <c r="AR154" i="7" s="1"/>
  <c r="AP147" i="7"/>
  <c r="AR147" i="7" s="1"/>
  <c r="AP148" i="7"/>
  <c r="AR148" i="7" s="1"/>
  <c r="AP149" i="7"/>
  <c r="AR149" i="7" s="1"/>
  <c r="AP150" i="7"/>
  <c r="AR150" i="7" s="1"/>
  <c r="AP151" i="7"/>
  <c r="AR151" i="7" s="1"/>
  <c r="AP152" i="7"/>
  <c r="AR152" i="7" s="1"/>
  <c r="AP153" i="7"/>
  <c r="AR153" i="7" s="1"/>
  <c r="AP132" i="7"/>
  <c r="AR132" i="7" s="1"/>
  <c r="AP133" i="7"/>
  <c r="AR133" i="7" s="1"/>
  <c r="AP134" i="7"/>
  <c r="AR134" i="7" s="1"/>
  <c r="AP135" i="7"/>
  <c r="AR135" i="7" s="1"/>
  <c r="AP136" i="7"/>
  <c r="AR136" i="7" s="1"/>
  <c r="AP137" i="7"/>
  <c r="AR137" i="7" s="1"/>
  <c r="AP130" i="7"/>
  <c r="AR130" i="7" s="1"/>
  <c r="AP131" i="7"/>
  <c r="AR131" i="7" s="1"/>
  <c r="AP111" i="7"/>
  <c r="AR111" i="7" s="1"/>
  <c r="AP112" i="7"/>
  <c r="AR112" i="7" s="1"/>
  <c r="AP113" i="7"/>
  <c r="AR113" i="7" s="1"/>
  <c r="AP114" i="7"/>
  <c r="AR114" i="7" s="1"/>
  <c r="AP115" i="7"/>
  <c r="AR115" i="7" s="1"/>
  <c r="AP116" i="7"/>
  <c r="AR116" i="7" s="1"/>
  <c r="AP117" i="7"/>
  <c r="AR117" i="7" s="1"/>
  <c r="AP118" i="7"/>
  <c r="AR118" i="7" s="1"/>
  <c r="AP119" i="7"/>
  <c r="AR119" i="7" s="1"/>
  <c r="AP120" i="7"/>
  <c r="AR120" i="7" s="1"/>
  <c r="AP121" i="7"/>
  <c r="AR121" i="7" s="1"/>
  <c r="AP122" i="7"/>
  <c r="AR122" i="7" s="1"/>
  <c r="AP108" i="7"/>
  <c r="AR108" i="7" s="1"/>
  <c r="AP109" i="7"/>
  <c r="AR109" i="7" s="1"/>
  <c r="AP110" i="7"/>
  <c r="AR110" i="7" s="1"/>
  <c r="AP94" i="7"/>
  <c r="AR94" i="7" s="1"/>
  <c r="AP95" i="7"/>
  <c r="AR95" i="7" s="1"/>
  <c r="AP96" i="7"/>
  <c r="AR96" i="7" s="1"/>
  <c r="AP97" i="7"/>
  <c r="AR97" i="7" s="1"/>
  <c r="AP98" i="7"/>
  <c r="AR98" i="7" s="1"/>
  <c r="AP99" i="7"/>
  <c r="AR99" i="7" s="1"/>
  <c r="AP100" i="7"/>
  <c r="AR100" i="7" s="1"/>
  <c r="AP101" i="7"/>
  <c r="AR101" i="7" s="1"/>
  <c r="AP102" i="7"/>
  <c r="AR102" i="7" s="1"/>
  <c r="AP84" i="7"/>
  <c r="AR84" i="7" s="1"/>
  <c r="AP85" i="7"/>
  <c r="AR85" i="7" s="1"/>
  <c r="AP86" i="7"/>
  <c r="AR86" i="7" s="1"/>
  <c r="AP87" i="7"/>
  <c r="AR87" i="7" s="1"/>
  <c r="AP79" i="7"/>
  <c r="AR79" i="7" s="1"/>
  <c r="AP80" i="7"/>
  <c r="AR80" i="7" s="1"/>
  <c r="AP81" i="7"/>
  <c r="AR81" i="7" s="1"/>
  <c r="AP82" i="7"/>
  <c r="AR82" i="7" s="1"/>
  <c r="AP83" i="7"/>
  <c r="AR83" i="7" s="1"/>
  <c r="AP66" i="7"/>
  <c r="AR66" i="7" s="1"/>
  <c r="AP67" i="7"/>
  <c r="AR67" i="7" s="1"/>
  <c r="AP68" i="7"/>
  <c r="AR68" i="7" s="1"/>
  <c r="AP69" i="7"/>
  <c r="AR69" i="7" s="1"/>
  <c r="AP70" i="7"/>
  <c r="AR70" i="7" s="1"/>
  <c r="AP65" i="7"/>
  <c r="AR65" i="7" s="1"/>
  <c r="AP63" i="7"/>
  <c r="AR63" i="7" s="1"/>
  <c r="AP64" i="7"/>
  <c r="AR64" i="7" s="1"/>
  <c r="AP57" i="7"/>
  <c r="AR57" i="7" s="1"/>
  <c r="AP58" i="7"/>
  <c r="AR58" i="7" s="1"/>
  <c r="AP59" i="7"/>
  <c r="AR59" i="7" s="1"/>
  <c r="AP60" i="7"/>
  <c r="AR60" i="7" s="1"/>
  <c r="AP61" i="7"/>
  <c r="AR61" i="7" s="1"/>
  <c r="AP62" i="7"/>
  <c r="AR62" i="7" s="1"/>
  <c r="AP71" i="7"/>
  <c r="AR71" i="7" s="1"/>
  <c r="AP49" i="7"/>
  <c r="AR49" i="7" s="1"/>
  <c r="AP50" i="7"/>
  <c r="AR50" i="7" s="1"/>
  <c r="AP51" i="7"/>
  <c r="AR51" i="7" s="1"/>
  <c r="AP52" i="7"/>
  <c r="AR52" i="7" s="1"/>
  <c r="AP43" i="7"/>
  <c r="AR43" i="7" s="1"/>
  <c r="AP44" i="7"/>
  <c r="AR44" i="7" s="1"/>
  <c r="AP45" i="7"/>
  <c r="AR45" i="7" s="1"/>
  <c r="AP46" i="7"/>
  <c r="AR46" i="7" s="1"/>
  <c r="AP47" i="7"/>
  <c r="AR47" i="7" s="1"/>
  <c r="AP48" i="7"/>
  <c r="AR48" i="7" s="1"/>
  <c r="AP42" i="7"/>
  <c r="AR42" i="7" s="1"/>
  <c r="AP38" i="7"/>
  <c r="AR38" i="7" s="1"/>
  <c r="AP31" i="7"/>
  <c r="AR31" i="7" s="1"/>
  <c r="AP32" i="7"/>
  <c r="AR32" i="7" s="1"/>
  <c r="AP33" i="7"/>
  <c r="AR33" i="7" s="1"/>
  <c r="AP34" i="7"/>
  <c r="AR34" i="7" s="1"/>
  <c r="AP35" i="7"/>
  <c r="AR35" i="7" s="1"/>
  <c r="AP36" i="7"/>
  <c r="AR36" i="7" s="1"/>
  <c r="AP37" i="7"/>
  <c r="AR37" i="7" s="1"/>
  <c r="AP23" i="7"/>
  <c r="AR23" i="7" s="1"/>
  <c r="AP24" i="7"/>
  <c r="AR24" i="7" s="1"/>
  <c r="AP25" i="7"/>
  <c r="AR25" i="7" s="1"/>
  <c r="AP26" i="7"/>
  <c r="AR26" i="7" s="1"/>
  <c r="AP27" i="7"/>
  <c r="AR27" i="7" s="1"/>
  <c r="AG25" i="6"/>
  <c r="AK67" i="6"/>
  <c r="AL67" i="6"/>
  <c r="AM67" i="6"/>
  <c r="AN67" i="6"/>
  <c r="AO67" i="6"/>
  <c r="AP67" i="6"/>
  <c r="AQ67" i="6"/>
  <c r="AR67" i="6"/>
  <c r="AK68" i="6"/>
  <c r="AL68" i="6"/>
  <c r="AM68" i="6"/>
  <c r="AN68" i="6"/>
  <c r="AO68" i="6"/>
  <c r="AP68" i="6"/>
  <c r="AQ68" i="6"/>
  <c r="AR68" i="6"/>
  <c r="AK69" i="6"/>
  <c r="AL69" i="6"/>
  <c r="AM69" i="6"/>
  <c r="AN69" i="6"/>
  <c r="AO69" i="6"/>
  <c r="AP69" i="6"/>
  <c r="AQ69" i="6"/>
  <c r="AR69" i="6"/>
  <c r="Y68" i="6"/>
  <c r="Z68" i="6"/>
  <c r="AB68" i="6"/>
  <c r="Y69" i="6"/>
  <c r="Z69" i="6"/>
  <c r="AA69" i="6"/>
  <c r="AB69" i="6"/>
  <c r="AG125" i="6" l="1"/>
  <c r="AI125" i="6" s="1"/>
  <c r="AG122" i="6"/>
  <c r="AI122" i="6" s="1"/>
  <c r="AG123" i="6"/>
  <c r="AI123" i="6" s="1"/>
  <c r="AG124" i="6"/>
  <c r="AI124" i="6" s="1"/>
  <c r="P68" i="3"/>
  <c r="P67" i="3"/>
  <c r="AG120" i="6" l="1"/>
  <c r="AI120" i="6" s="1"/>
  <c r="AG121" i="6"/>
  <c r="AI121" i="6" s="1"/>
  <c r="Y67" i="6"/>
  <c r="Z67" i="6"/>
  <c r="AA67" i="6"/>
  <c r="AB67" i="6"/>
  <c r="P66" i="3"/>
  <c r="AR65" i="6"/>
  <c r="AR66" i="6"/>
  <c r="AP65" i="6"/>
  <c r="AP66" i="6"/>
  <c r="AN65" i="6"/>
  <c r="AN66" i="6"/>
  <c r="AL65" i="6"/>
  <c r="AL66" i="6"/>
  <c r="C4" i="2" l="1"/>
  <c r="C2" i="2"/>
  <c r="A10" i="2"/>
  <c r="A9" i="2"/>
  <c r="A8" i="2"/>
  <c r="A7" i="2"/>
  <c r="A6" i="2"/>
  <c r="A5" i="2"/>
  <c r="A4" i="2"/>
  <c r="AB3" i="6"/>
  <c r="AB4" i="6"/>
  <c r="AB5" i="6"/>
  <c r="AB6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C19" i="6"/>
  <c r="AB20" i="6"/>
  <c r="AB21" i="6"/>
  <c r="AB22" i="6"/>
  <c r="AB23" i="6"/>
  <c r="AB24" i="6"/>
  <c r="AB25" i="6"/>
  <c r="AB26" i="6"/>
  <c r="AB27" i="6"/>
  <c r="AC4" i="6"/>
  <c r="AC5" i="6"/>
  <c r="AC6" i="6"/>
  <c r="AC7" i="6"/>
  <c r="AC9" i="6"/>
  <c r="AC10" i="6"/>
  <c r="AC11" i="6"/>
  <c r="AC12" i="6"/>
  <c r="AC13" i="6"/>
  <c r="AC14" i="6"/>
  <c r="AC15" i="6"/>
  <c r="AC16" i="6"/>
  <c r="AC17" i="6"/>
  <c r="AC18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G99" i="6" l="1"/>
  <c r="AG100" i="6"/>
  <c r="AG101" i="6"/>
  <c r="AG102" i="6"/>
  <c r="AG103" i="6"/>
  <c r="AI103" i="6" s="1"/>
  <c r="AG104" i="6"/>
  <c r="AG105" i="6"/>
  <c r="AI105" i="6" s="1"/>
  <c r="AG106" i="6"/>
  <c r="AG107" i="6"/>
  <c r="AG108" i="6"/>
  <c r="AG109" i="6"/>
  <c r="AI109" i="6" s="1"/>
  <c r="AG110" i="6"/>
  <c r="AG111" i="6"/>
  <c r="AI111" i="6" s="1"/>
  <c r="AG112" i="6"/>
  <c r="AG113" i="6"/>
  <c r="AG114" i="6"/>
  <c r="AG115" i="6"/>
  <c r="AI115" i="6" s="1"/>
  <c r="AG116" i="6"/>
  <c r="AG117" i="6"/>
  <c r="AG118" i="6"/>
  <c r="AG119" i="6"/>
  <c r="AG98" i="6"/>
  <c r="AI98" i="6" s="1"/>
  <c r="AG90" i="6"/>
  <c r="AI90" i="6" s="1"/>
  <c r="AG91" i="6"/>
  <c r="AG92" i="6"/>
  <c r="AG93" i="6"/>
  <c r="AG94" i="6"/>
  <c r="AG95" i="6"/>
  <c r="AG96" i="6"/>
  <c r="AI96" i="6" s="1"/>
  <c r="AG97" i="6"/>
  <c r="AG80" i="6"/>
  <c r="AI80" i="6" s="1"/>
  <c r="AG81" i="6"/>
  <c r="AI81" i="6" s="1"/>
  <c r="AG82" i="6"/>
  <c r="AG83" i="6"/>
  <c r="AI83" i="6" s="1"/>
  <c r="AG84" i="6"/>
  <c r="AI84" i="6" s="1"/>
  <c r="AG85" i="6"/>
  <c r="AG86" i="6"/>
  <c r="AG87" i="6"/>
  <c r="AG88" i="6"/>
  <c r="AG89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I67" i="6" s="1"/>
  <c r="AG68" i="6"/>
  <c r="AI68" i="6" s="1"/>
  <c r="AG69" i="6"/>
  <c r="AG70" i="6"/>
  <c r="AI70" i="6" s="1"/>
  <c r="AG71" i="6"/>
  <c r="AI71" i="6" s="1"/>
  <c r="AG72" i="6"/>
  <c r="AG73" i="6"/>
  <c r="AG74" i="6"/>
  <c r="AG75" i="6"/>
  <c r="AG76" i="6"/>
  <c r="AG77" i="6"/>
  <c r="AG78" i="6"/>
  <c r="AG79" i="6"/>
  <c r="AI79" i="6" s="1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4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6" i="6"/>
  <c r="AG3" i="6"/>
  <c r="P65" i="3"/>
  <c r="P64" i="3"/>
  <c r="AD1" i="7"/>
  <c r="AC1" i="7"/>
  <c r="AB1" i="7"/>
  <c r="AA1" i="7"/>
  <c r="AP78" i="7"/>
  <c r="AR78" i="7" s="1"/>
  <c r="AP88" i="7"/>
  <c r="AR88" i="7" s="1"/>
  <c r="AP89" i="7"/>
  <c r="AR89" i="7" s="1"/>
  <c r="AP90" i="7"/>
  <c r="AR90" i="7" s="1"/>
  <c r="AP91" i="7"/>
  <c r="AR91" i="7" s="1"/>
  <c r="AP92" i="7"/>
  <c r="AR92" i="7" s="1"/>
  <c r="AP93" i="7"/>
  <c r="AR93" i="7" s="1"/>
  <c r="AP103" i="7"/>
  <c r="AR103" i="7" s="1"/>
  <c r="AP104" i="7"/>
  <c r="AR104" i="7" s="1"/>
  <c r="AP105" i="7"/>
  <c r="AR105" i="7" s="1"/>
  <c r="AP106" i="7"/>
  <c r="AR106" i="7" s="1"/>
  <c r="AP107" i="7"/>
  <c r="AR107" i="7" s="1"/>
  <c r="AP123" i="7"/>
  <c r="AR123" i="7" s="1"/>
  <c r="AP124" i="7"/>
  <c r="AR124" i="7" s="1"/>
  <c r="AP125" i="7"/>
  <c r="AR125" i="7" s="1"/>
  <c r="AP126" i="7"/>
  <c r="AR126" i="7" s="1"/>
  <c r="AP127" i="7"/>
  <c r="AR127" i="7" s="1"/>
  <c r="AP128" i="7"/>
  <c r="AR128" i="7" s="1"/>
  <c r="AP129" i="7"/>
  <c r="AR129" i="7" s="1"/>
  <c r="AP138" i="7"/>
  <c r="AR138" i="7" s="1"/>
  <c r="AP139" i="7"/>
  <c r="AR139" i="7" s="1"/>
  <c r="AP140" i="7"/>
  <c r="AR140" i="7" s="1"/>
  <c r="AP141" i="7"/>
  <c r="AR141" i="7" s="1"/>
  <c r="AP142" i="7"/>
  <c r="AR142" i="7" s="1"/>
  <c r="AP143" i="7"/>
  <c r="AR143" i="7" s="1"/>
  <c r="AP144" i="7"/>
  <c r="AR144" i="7" s="1"/>
  <c r="AP145" i="7"/>
  <c r="AR145" i="7" s="1"/>
  <c r="AP146" i="7"/>
  <c r="AR146" i="7" s="1"/>
  <c r="AP155" i="7"/>
  <c r="AR155" i="7" s="1"/>
  <c r="AP156" i="7"/>
  <c r="AR156" i="7" s="1"/>
  <c r="AP157" i="7"/>
  <c r="AR157" i="7" s="1"/>
  <c r="AP158" i="7"/>
  <c r="AR158" i="7" s="1"/>
  <c r="AP159" i="7"/>
  <c r="AR159" i="7" s="1"/>
  <c r="AP20" i="7"/>
  <c r="AR20" i="7" s="1"/>
  <c r="AP22" i="7"/>
  <c r="AR22" i="7" s="1"/>
  <c r="AP28" i="7"/>
  <c r="AR28" i="7" s="1"/>
  <c r="AP29" i="7"/>
  <c r="AR29" i="7" s="1"/>
  <c r="AP30" i="7"/>
  <c r="AR30" i="7" s="1"/>
  <c r="AP39" i="7"/>
  <c r="AR39" i="7" s="1"/>
  <c r="AP40" i="7"/>
  <c r="AR40" i="7" s="1"/>
  <c r="AP41" i="7"/>
  <c r="AR41" i="7" s="1"/>
  <c r="AP53" i="7"/>
  <c r="AR53" i="7" s="1"/>
  <c r="AP54" i="7"/>
  <c r="AR54" i="7" s="1"/>
  <c r="AP55" i="7"/>
  <c r="AR55" i="7" s="1"/>
  <c r="AP56" i="7"/>
  <c r="AR56" i="7" s="1"/>
  <c r="AP72" i="7"/>
  <c r="AR72" i="7" s="1"/>
  <c r="AP73" i="7"/>
  <c r="AR73" i="7" s="1"/>
  <c r="AP74" i="7"/>
  <c r="AR74" i="7" s="1"/>
  <c r="AP75" i="7"/>
  <c r="AR75" i="7" s="1"/>
  <c r="AP76" i="7"/>
  <c r="AR76" i="7" s="1"/>
  <c r="AP77" i="7"/>
  <c r="AR77" i="7" s="1"/>
  <c r="AP21" i="7"/>
  <c r="AR21" i="7" s="1"/>
  <c r="AR64" i="6"/>
  <c r="AP64" i="6"/>
  <c r="AN64" i="6"/>
  <c r="AL64" i="6"/>
  <c r="P63" i="3"/>
  <c r="AA63" i="6"/>
  <c r="AR62" i="6"/>
  <c r="AR63" i="6"/>
  <c r="AP62" i="6"/>
  <c r="AP63" i="6"/>
  <c r="AN62" i="6"/>
  <c r="AN63" i="6"/>
  <c r="AL62" i="6"/>
  <c r="AL63" i="6"/>
  <c r="P62" i="3"/>
  <c r="C3" i="2"/>
  <c r="E2" i="2"/>
  <c r="E3" i="2" s="1"/>
  <c r="E4" i="2" s="1"/>
  <c r="E5" i="2" s="1"/>
  <c r="E6" i="2" s="1"/>
  <c r="P61" i="3"/>
  <c r="AR51" i="6"/>
  <c r="AR52" i="6"/>
  <c r="AR53" i="6"/>
  <c r="AR54" i="6"/>
  <c r="AR55" i="6"/>
  <c r="AR56" i="6"/>
  <c r="AR57" i="6"/>
  <c r="AR58" i="6"/>
  <c r="AR59" i="6"/>
  <c r="AR60" i="6"/>
  <c r="AR61" i="6"/>
  <c r="AP51" i="6"/>
  <c r="AP52" i="6"/>
  <c r="AP53" i="6"/>
  <c r="AP54" i="6"/>
  <c r="AP55" i="6"/>
  <c r="AP56" i="6"/>
  <c r="AP57" i="6"/>
  <c r="AP58" i="6"/>
  <c r="AP59" i="6"/>
  <c r="AP60" i="6"/>
  <c r="AP61" i="6"/>
  <c r="AN51" i="6"/>
  <c r="AN52" i="6"/>
  <c r="AN53" i="6"/>
  <c r="AN54" i="6"/>
  <c r="AN55" i="6"/>
  <c r="AN56" i="6"/>
  <c r="AN57" i="6"/>
  <c r="AN58" i="6"/>
  <c r="AN59" i="6"/>
  <c r="AN60" i="6"/>
  <c r="AN61" i="6"/>
  <c r="AL51" i="6"/>
  <c r="AL52" i="6"/>
  <c r="AL53" i="6"/>
  <c r="AL54" i="6"/>
  <c r="AL55" i="6"/>
  <c r="AL56" i="6"/>
  <c r="AL57" i="6"/>
  <c r="AL58" i="6"/>
  <c r="AL59" i="6"/>
  <c r="AL60" i="6"/>
  <c r="AL61" i="6"/>
  <c r="AI112" i="6"/>
  <c r="AI102" i="6"/>
  <c r="AI104" i="6"/>
  <c r="AI107" i="6"/>
  <c r="AI108" i="6"/>
  <c r="AI101" i="6"/>
  <c r="AI100" i="6"/>
  <c r="Y53" i="6"/>
  <c r="P51" i="3"/>
  <c r="AB52" i="6" s="1"/>
  <c r="P52" i="3"/>
  <c r="P53" i="3"/>
  <c r="P54" i="3"/>
  <c r="P55" i="3"/>
  <c r="P56" i="3"/>
  <c r="P57" i="3"/>
  <c r="P58" i="3"/>
  <c r="P59" i="3"/>
  <c r="P60" i="3"/>
  <c r="AB61" i="6" s="1"/>
  <c r="P50" i="3"/>
  <c r="AI94" i="6"/>
  <c r="AI95" i="6"/>
  <c r="AI97" i="6"/>
  <c r="AI99" i="6"/>
  <c r="P49" i="3"/>
  <c r="P48" i="3"/>
  <c r="AI93" i="6"/>
  <c r="AI91" i="6"/>
  <c r="AI92" i="6"/>
  <c r="P47" i="3"/>
  <c r="AB48" i="6" s="1"/>
  <c r="AP3" i="7"/>
  <c r="AR3" i="7" s="1"/>
  <c r="AP4" i="7"/>
  <c r="AR4" i="7" s="1"/>
  <c r="AP5" i="7"/>
  <c r="AR5" i="7" s="1"/>
  <c r="AP6" i="7"/>
  <c r="AR6" i="7" s="1"/>
  <c r="AP7" i="7"/>
  <c r="AR7" i="7" s="1"/>
  <c r="AP8" i="7"/>
  <c r="AR8" i="7" s="1"/>
  <c r="AP9" i="7"/>
  <c r="AR9" i="7" s="1"/>
  <c r="AP10" i="7"/>
  <c r="AR10" i="7" s="1"/>
  <c r="AP11" i="7"/>
  <c r="AR11" i="7" s="1"/>
  <c r="AP12" i="7"/>
  <c r="AR12" i="7" s="1"/>
  <c r="AP13" i="7"/>
  <c r="AR13" i="7" s="1"/>
  <c r="AP14" i="7"/>
  <c r="AR14" i="7" s="1"/>
  <c r="AP15" i="7"/>
  <c r="AR15" i="7" s="1"/>
  <c r="AP16" i="7"/>
  <c r="AR16" i="7" s="1"/>
  <c r="AP17" i="7"/>
  <c r="AR17" i="7" s="1"/>
  <c r="AP18" i="7"/>
  <c r="AR18" i="7" s="1"/>
  <c r="AP19" i="7"/>
  <c r="AR19" i="7" s="1"/>
  <c r="AP2" i="7"/>
  <c r="AR2" i="7" s="1"/>
  <c r="Y24" i="7"/>
  <c r="AI89" i="6"/>
  <c r="AI87" i="6"/>
  <c r="AI88" i="6"/>
  <c r="P46" i="3"/>
  <c r="AO53" i="6"/>
  <c r="Z48" i="6"/>
  <c r="AA48" i="6"/>
  <c r="Z49" i="6"/>
  <c r="AB49" i="6"/>
  <c r="Z50" i="6"/>
  <c r="AA50" i="6"/>
  <c r="AB50" i="6"/>
  <c r="Z51" i="6"/>
  <c r="AA51" i="6"/>
  <c r="AB51" i="6"/>
  <c r="Z52" i="6"/>
  <c r="AA52" i="6"/>
  <c r="Z53" i="6"/>
  <c r="AA53" i="6"/>
  <c r="AB53" i="6"/>
  <c r="Z54" i="6"/>
  <c r="AA54" i="6"/>
  <c r="AB54" i="6"/>
  <c r="Z55" i="6"/>
  <c r="AA55" i="6"/>
  <c r="AB55" i="6"/>
  <c r="Z56" i="6"/>
  <c r="AA56" i="6"/>
  <c r="AB56" i="6"/>
  <c r="Z57" i="6"/>
  <c r="AA57" i="6"/>
  <c r="AB57" i="6"/>
  <c r="Z58" i="6"/>
  <c r="AA58" i="6"/>
  <c r="AB58" i="6"/>
  <c r="Z59" i="6"/>
  <c r="AA59" i="6"/>
  <c r="AB59" i="6"/>
  <c r="Z60" i="6"/>
  <c r="AA60" i="6"/>
  <c r="AB60" i="6"/>
  <c r="Z61" i="6"/>
  <c r="AA61" i="6"/>
  <c r="Z62" i="6"/>
  <c r="AA62" i="6"/>
  <c r="AB62" i="6"/>
  <c r="Z63" i="6"/>
  <c r="AB63" i="6"/>
  <c r="Z64" i="6"/>
  <c r="AA64" i="6"/>
  <c r="AB64" i="6"/>
  <c r="Z65" i="6"/>
  <c r="AA65" i="6"/>
  <c r="AB65" i="6"/>
  <c r="Z66" i="6"/>
  <c r="AA66" i="6"/>
  <c r="AB66" i="6"/>
  <c r="AB47" i="6"/>
  <c r="Z47" i="6"/>
  <c r="AA47" i="6"/>
  <c r="Y48" i="6"/>
  <c r="AM48" i="6" s="1"/>
  <c r="Y49" i="6"/>
  <c r="AK49" i="6" s="1"/>
  <c r="Y50" i="6"/>
  <c r="AK50" i="6" s="1"/>
  <c r="Y51" i="6"/>
  <c r="AQ51" i="6" s="1"/>
  <c r="Y52" i="6"/>
  <c r="AO52" i="6" s="1"/>
  <c r="AM53" i="6"/>
  <c r="Y54" i="6"/>
  <c r="AM54" i="6" s="1"/>
  <c r="Y55" i="6"/>
  <c r="AM55" i="6" s="1"/>
  <c r="Y56" i="6"/>
  <c r="AQ56" i="6" s="1"/>
  <c r="Y57" i="6"/>
  <c r="AO57" i="6" s="1"/>
  <c r="Y58" i="6"/>
  <c r="AO58" i="6" s="1"/>
  <c r="Y59" i="6"/>
  <c r="AK59" i="6" s="1"/>
  <c r="Y60" i="6"/>
  <c r="AK60" i="6" s="1"/>
  <c r="Y61" i="6"/>
  <c r="AM61" i="6" s="1"/>
  <c r="Y62" i="6"/>
  <c r="AM62" i="6" s="1"/>
  <c r="Y63" i="6"/>
  <c r="AO63" i="6" s="1"/>
  <c r="Y64" i="6"/>
  <c r="AO64" i="6" s="1"/>
  <c r="Y65" i="6"/>
  <c r="AM65" i="6" s="1"/>
  <c r="Y66" i="6"/>
  <c r="AQ66" i="6" s="1"/>
  <c r="Y47" i="6"/>
  <c r="AQ47" i="6" s="1"/>
  <c r="AB28" i="6"/>
  <c r="AB29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5" i="6"/>
  <c r="AB46" i="6"/>
  <c r="AI63" i="6"/>
  <c r="AI64" i="6"/>
  <c r="AI65" i="6"/>
  <c r="AI66" i="6"/>
  <c r="AI69" i="6"/>
  <c r="AI72" i="6"/>
  <c r="AI73" i="6"/>
  <c r="AI74" i="6"/>
  <c r="AI75" i="6"/>
  <c r="AI76" i="6"/>
  <c r="AI77" i="6"/>
  <c r="AI78" i="6"/>
  <c r="AI82" i="6"/>
  <c r="AI85" i="6"/>
  <c r="AI86" i="6"/>
  <c r="AI3" i="6"/>
  <c r="P3" i="3"/>
  <c r="BV2" i="1"/>
  <c r="P6" i="3"/>
  <c r="N6" i="1"/>
  <c r="D3" i="1"/>
  <c r="D4" i="1"/>
  <c r="D5" i="1"/>
  <c r="D6" i="1"/>
  <c r="D7" i="1"/>
  <c r="D8" i="1"/>
  <c r="D9" i="1"/>
  <c r="D10" i="1"/>
  <c r="D11" i="1"/>
  <c r="D12" i="1"/>
  <c r="D13" i="1"/>
  <c r="D2" i="1"/>
  <c r="A3" i="2"/>
  <c r="CF2" i="1"/>
  <c r="CA6" i="1"/>
  <c r="CA3" i="1"/>
  <c r="CA4" i="1"/>
  <c r="CA5" i="1"/>
  <c r="CA2" i="1"/>
  <c r="BV5" i="1"/>
  <c r="BV3" i="1"/>
  <c r="BV4" i="1"/>
  <c r="BQ3" i="1"/>
  <c r="BQ4" i="1"/>
  <c r="BQ2" i="1"/>
  <c r="BL6" i="1"/>
  <c r="BL8" i="1"/>
  <c r="BL7" i="1"/>
  <c r="BL3" i="1"/>
  <c r="BL5" i="1"/>
  <c r="BL2" i="1"/>
  <c r="BL4" i="1"/>
  <c r="BG4" i="1"/>
  <c r="BG5" i="1"/>
  <c r="BG2" i="1"/>
  <c r="BG3" i="1"/>
  <c r="BB8" i="1"/>
  <c r="BB6" i="1"/>
  <c r="BB7" i="1"/>
  <c r="BB3" i="1"/>
  <c r="BB4" i="1"/>
  <c r="BB2" i="1"/>
  <c r="BB5" i="1"/>
  <c r="BB9" i="1"/>
  <c r="AW2" i="1"/>
  <c r="AW4" i="1"/>
  <c r="AW3" i="1"/>
  <c r="AR2" i="1"/>
  <c r="AR6" i="1"/>
  <c r="AR3" i="1"/>
  <c r="AR4" i="1"/>
  <c r="AR7" i="1"/>
  <c r="AR5" i="1"/>
  <c r="AM4" i="1"/>
  <c r="AM5" i="1"/>
  <c r="AM2" i="1"/>
  <c r="AM3" i="1"/>
  <c r="AH2" i="1"/>
  <c r="AH5" i="1"/>
  <c r="AH4" i="1"/>
  <c r="AH7" i="1"/>
  <c r="AH6" i="1"/>
  <c r="AH3" i="1"/>
  <c r="AC2" i="1"/>
  <c r="X2" i="1"/>
  <c r="X3" i="1"/>
  <c r="X4" i="1"/>
  <c r="X6" i="1"/>
  <c r="X5" i="1"/>
  <c r="S2" i="1"/>
  <c r="S7" i="1"/>
  <c r="S8" i="1"/>
  <c r="S5" i="1"/>
  <c r="S6" i="1"/>
  <c r="S3" i="1"/>
  <c r="S4" i="1"/>
  <c r="N2" i="1"/>
  <c r="N5" i="1"/>
  <c r="N4" i="1"/>
  <c r="N3" i="1"/>
  <c r="P30" i="3"/>
  <c r="P20" i="3"/>
  <c r="P44" i="3"/>
  <c r="P29" i="3"/>
  <c r="P43" i="3"/>
  <c r="P40" i="3"/>
  <c r="P8" i="3"/>
  <c r="P27" i="3"/>
  <c r="P35" i="3"/>
  <c r="P4" i="3"/>
  <c r="P7" i="3"/>
  <c r="P21" i="3"/>
  <c r="P23" i="3"/>
  <c r="P28" i="3"/>
  <c r="P2" i="3"/>
  <c r="P17" i="3"/>
  <c r="AN17" i="6" s="1"/>
  <c r="P13" i="3"/>
  <c r="P5" i="3"/>
  <c r="P45" i="3"/>
  <c r="P34" i="3"/>
  <c r="P12" i="3"/>
  <c r="P9" i="3"/>
  <c r="P11" i="3"/>
  <c r="AN18" i="6" s="1"/>
  <c r="P36" i="3"/>
  <c r="P31" i="3"/>
  <c r="P32" i="3"/>
  <c r="P39" i="3"/>
  <c r="P15" i="3"/>
  <c r="P24" i="3"/>
  <c r="P22" i="3"/>
  <c r="P33" i="3"/>
  <c r="P16" i="3"/>
  <c r="P14" i="3"/>
  <c r="P26" i="3"/>
  <c r="P38" i="3"/>
  <c r="P42" i="3"/>
  <c r="P37" i="3"/>
  <c r="P41" i="3"/>
  <c r="P10" i="3"/>
  <c r="P18" i="3"/>
  <c r="P19" i="3"/>
  <c r="P25" i="3"/>
  <c r="I15" i="1"/>
  <c r="I16" i="1"/>
  <c r="I17" i="1"/>
  <c r="I8" i="1"/>
  <c r="I14" i="1"/>
  <c r="I4" i="1"/>
  <c r="I3" i="1"/>
  <c r="I5" i="1"/>
  <c r="I7" i="1"/>
  <c r="I9" i="1"/>
  <c r="I10" i="1"/>
  <c r="I11" i="1"/>
  <c r="I6" i="1"/>
  <c r="I12" i="1"/>
  <c r="I13" i="1"/>
  <c r="I2" i="1"/>
  <c r="AB7" i="6" l="1"/>
  <c r="AR7" i="6" s="1"/>
  <c r="AC8" i="6"/>
  <c r="AI110" i="6"/>
  <c r="AI117" i="6"/>
  <c r="AI113" i="6"/>
  <c r="AI119" i="6"/>
  <c r="AI118" i="6"/>
  <c r="AI114" i="6"/>
  <c r="AI106" i="6"/>
  <c r="AI116" i="6"/>
  <c r="AA2" i="7" a="1"/>
  <c r="AA2" i="7" s="1"/>
  <c r="AB44" i="6"/>
  <c r="E7" i="2"/>
  <c r="E8" i="2" s="1"/>
  <c r="E9" i="2" s="1"/>
  <c r="E10" i="2" s="1"/>
  <c r="AQ53" i="6"/>
  <c r="AM63" i="6"/>
  <c r="AQ63" i="6"/>
  <c r="AK64" i="6"/>
  <c r="AK63" i="6"/>
  <c r="AM64" i="6"/>
  <c r="AR50" i="6"/>
  <c r="AO65" i="6"/>
  <c r="AQ64" i="6"/>
  <c r="AR49" i="6"/>
  <c r="AP48" i="6"/>
  <c r="AO66" i="6"/>
  <c r="AQ65" i="6"/>
  <c r="AR48" i="6"/>
  <c r="AO54" i="6"/>
  <c r="AK66" i="6"/>
  <c r="AR47" i="6"/>
  <c r="AP50" i="6"/>
  <c r="AK61" i="6"/>
  <c r="AM60" i="6"/>
  <c r="AO59" i="6"/>
  <c r="AQ58" i="6"/>
  <c r="AM58" i="6"/>
  <c r="AK55" i="6"/>
  <c r="AK56" i="6"/>
  <c r="AO55" i="6"/>
  <c r="AQ55" i="6"/>
  <c r="AQ54" i="6"/>
  <c r="AK58" i="6"/>
  <c r="AO56" i="6"/>
  <c r="AL48" i="6"/>
  <c r="AM59" i="6"/>
  <c r="AK57" i="6"/>
  <c r="AN48" i="6"/>
  <c r="AM56" i="6"/>
  <c r="AK54" i="6"/>
  <c r="AO48" i="6"/>
  <c r="AK65" i="6"/>
  <c r="AL49" i="6"/>
  <c r="AK53" i="6"/>
  <c r="AQ62" i="6"/>
  <c r="AN50" i="6"/>
  <c r="AM57" i="6"/>
  <c r="AL50" i="6"/>
  <c r="AO62" i="6"/>
  <c r="AQ61" i="6"/>
  <c r="AN49" i="6"/>
  <c r="AO61" i="6"/>
  <c r="AQ60" i="6"/>
  <c r="AM66" i="6"/>
  <c r="AK62" i="6"/>
  <c r="AO60" i="6"/>
  <c r="AQ59" i="6"/>
  <c r="AL47" i="6"/>
  <c r="AP49" i="6"/>
  <c r="AN47" i="6"/>
  <c r="AN33" i="6"/>
  <c r="AQ57" i="6"/>
  <c r="AP47" i="6"/>
  <c r="AQ52" i="6"/>
  <c r="AM52" i="6"/>
  <c r="AK52" i="6"/>
  <c r="AM51" i="6"/>
  <c r="AK51" i="6"/>
  <c r="AO51" i="6"/>
  <c r="AM50" i="6"/>
  <c r="AO50" i="6"/>
  <c r="AQ50" i="6"/>
  <c r="AO49" i="6"/>
  <c r="AQ49" i="6"/>
  <c r="AM49" i="6"/>
  <c r="AQ48" i="6"/>
  <c r="AK48" i="6"/>
  <c r="AB30" i="6"/>
  <c r="AN30" i="6" s="1"/>
  <c r="V2" i="7" a="1"/>
  <c r="V2" i="7" s="1"/>
  <c r="AK47" i="6"/>
  <c r="AM47" i="6"/>
  <c r="AO47" i="6"/>
  <c r="AI56" i="6"/>
  <c r="AI48" i="6"/>
  <c r="AI40" i="6"/>
  <c r="AI32" i="6"/>
  <c r="AI24" i="6"/>
  <c r="AI16" i="6"/>
  <c r="AI8" i="6"/>
  <c r="AI47" i="6"/>
  <c r="AI39" i="6"/>
  <c r="AI31" i="6"/>
  <c r="AI23" i="6"/>
  <c r="AI15" i="6"/>
  <c r="AI7" i="6"/>
  <c r="AI62" i="6"/>
  <c r="AI54" i="6"/>
  <c r="AI46" i="6"/>
  <c r="AI38" i="6"/>
  <c r="AI30" i="6"/>
  <c r="AI22" i="6"/>
  <c r="AI14" i="6"/>
  <c r="AI6" i="6"/>
  <c r="AI10" i="6"/>
  <c r="AI61" i="6"/>
  <c r="AI53" i="6"/>
  <c r="AI45" i="6"/>
  <c r="AI37" i="6"/>
  <c r="AI29" i="6"/>
  <c r="AI21" i="6"/>
  <c r="AI13" i="6"/>
  <c r="AI5" i="6"/>
  <c r="AI55" i="6"/>
  <c r="AI58" i="6"/>
  <c r="AI50" i="6"/>
  <c r="AI42" i="6"/>
  <c r="AI34" i="6"/>
  <c r="AI26" i="6"/>
  <c r="AI18" i="6"/>
  <c r="AI57" i="6"/>
  <c r="AI49" i="6"/>
  <c r="AI41" i="6"/>
  <c r="AI33" i="6"/>
  <c r="AI25" i="6"/>
  <c r="AI17" i="6"/>
  <c r="AI9" i="6"/>
  <c r="AI60" i="6"/>
  <c r="AI52" i="6"/>
  <c r="AI44" i="6"/>
  <c r="AI36" i="6"/>
  <c r="AI28" i="6"/>
  <c r="AI20" i="6"/>
  <c r="AI12" i="6"/>
  <c r="AI4" i="6"/>
  <c r="AI59" i="6"/>
  <c r="AI51" i="6"/>
  <c r="AI43" i="6"/>
  <c r="AI35" i="6"/>
  <c r="AI27" i="6"/>
  <c r="AI19" i="6"/>
  <c r="AI11" i="6"/>
  <c r="AN41" i="6"/>
  <c r="AR41" i="6"/>
  <c r="AL41" i="6"/>
  <c r="AN9" i="6"/>
  <c r="AL9" i="6"/>
  <c r="AN25" i="6"/>
  <c r="AL25" i="6"/>
  <c r="AN42" i="6"/>
  <c r="AL42" i="6"/>
  <c r="AN34" i="6"/>
  <c r="AL34" i="6"/>
  <c r="AN26" i="6"/>
  <c r="AL26" i="6"/>
  <c r="AN10" i="6"/>
  <c r="AL10" i="6"/>
  <c r="AL33" i="6"/>
  <c r="AL18" i="6"/>
  <c r="AL17" i="6"/>
  <c r="AR16" i="6"/>
  <c r="AP16" i="6"/>
  <c r="AL16" i="6"/>
  <c r="AN16" i="6"/>
  <c r="AN24" i="6"/>
  <c r="AL24" i="6"/>
  <c r="AP24" i="6"/>
  <c r="AR24" i="6"/>
  <c r="AR3" i="6"/>
  <c r="AL3" i="6"/>
  <c r="AN39" i="6"/>
  <c r="AL39" i="6"/>
  <c r="AR39" i="6"/>
  <c r="AP39" i="6"/>
  <c r="AN31" i="6"/>
  <c r="AP31" i="6"/>
  <c r="AL31" i="6"/>
  <c r="AR31" i="6"/>
  <c r="AN23" i="6"/>
  <c r="AR23" i="6"/>
  <c r="AL23" i="6"/>
  <c r="AP23" i="6"/>
  <c r="AL14" i="6"/>
  <c r="AR14" i="6"/>
  <c r="AN14" i="6"/>
  <c r="AP14" i="6"/>
  <c r="AL7" i="6"/>
  <c r="AP7" i="6"/>
  <c r="AL46" i="6"/>
  <c r="AR46" i="6"/>
  <c r="AN46" i="6"/>
  <c r="AP46" i="6"/>
  <c r="AL38" i="6"/>
  <c r="AP38" i="6"/>
  <c r="AR38" i="6"/>
  <c r="AN38" i="6"/>
  <c r="AP30" i="6"/>
  <c r="AR30" i="6"/>
  <c r="AN22" i="6"/>
  <c r="AL22" i="6"/>
  <c r="AP22" i="6"/>
  <c r="AR22" i="6"/>
  <c r="AL13" i="6"/>
  <c r="AN13" i="6"/>
  <c r="AP13" i="6"/>
  <c r="AR13" i="6"/>
  <c r="AL6" i="6"/>
  <c r="AP6" i="6"/>
  <c r="AN6" i="6"/>
  <c r="AR6" i="6"/>
  <c r="AN32" i="6"/>
  <c r="AP32" i="6"/>
  <c r="AR32" i="6"/>
  <c r="AL32" i="6"/>
  <c r="AL45" i="6"/>
  <c r="AR45" i="6"/>
  <c r="AN45" i="6"/>
  <c r="AP45" i="6"/>
  <c r="AL12" i="6"/>
  <c r="AN12" i="6"/>
  <c r="AP12" i="6"/>
  <c r="AR12" i="6"/>
  <c r="AL5" i="6"/>
  <c r="AR5" i="6"/>
  <c r="AN5" i="6"/>
  <c r="AP5" i="6"/>
  <c r="AL29" i="6"/>
  <c r="AN29" i="6"/>
  <c r="AR29" i="6"/>
  <c r="AP29" i="6"/>
  <c r="AL36" i="6"/>
  <c r="AR36" i="6"/>
  <c r="AN36" i="6"/>
  <c r="AP36" i="6"/>
  <c r="AL28" i="6"/>
  <c r="AR28" i="6"/>
  <c r="AP28" i="6"/>
  <c r="AN28" i="6"/>
  <c r="AL20" i="6"/>
  <c r="AP20" i="6"/>
  <c r="AR20" i="6"/>
  <c r="AN20" i="6"/>
  <c r="AL4" i="6"/>
  <c r="AN4" i="6"/>
  <c r="AP4" i="6"/>
  <c r="AR4" i="6"/>
  <c r="AP40" i="6"/>
  <c r="AL40" i="6"/>
  <c r="AR40" i="6"/>
  <c r="AN40" i="6"/>
  <c r="AL15" i="6"/>
  <c r="AN15" i="6"/>
  <c r="AP15" i="6"/>
  <c r="AR15" i="6"/>
  <c r="AN21" i="6"/>
  <c r="AL21" i="6"/>
  <c r="AP21" i="6"/>
  <c r="AR21" i="6"/>
  <c r="AN43" i="6"/>
  <c r="AP43" i="6"/>
  <c r="AL43" i="6"/>
  <c r="AR43" i="6"/>
  <c r="AR35" i="6"/>
  <c r="AN35" i="6"/>
  <c r="AP35" i="6"/>
  <c r="AL35" i="6"/>
  <c r="AR27" i="6"/>
  <c r="AN27" i="6"/>
  <c r="AP27" i="6"/>
  <c r="AL27" i="6"/>
  <c r="AR19" i="6"/>
  <c r="AN19" i="6"/>
  <c r="AL19" i="6"/>
  <c r="AP19" i="6"/>
  <c r="AN11" i="6"/>
  <c r="AP11" i="6"/>
  <c r="AR11" i="6"/>
  <c r="AL11" i="6"/>
  <c r="AP8" i="6"/>
  <c r="AR8" i="6"/>
  <c r="AL8" i="6"/>
  <c r="AN8" i="6"/>
  <c r="AL37" i="6"/>
  <c r="AR37" i="6"/>
  <c r="AN37" i="6"/>
  <c r="AP37" i="6"/>
  <c r="AL44" i="6"/>
  <c r="AR44" i="6"/>
  <c r="AN44" i="6"/>
  <c r="AP44" i="6"/>
  <c r="AR33" i="6"/>
  <c r="AR9" i="6"/>
  <c r="AR17" i="6"/>
  <c r="AR25" i="6"/>
  <c r="AR42" i="6"/>
  <c r="AR34" i="6"/>
  <c r="AR26" i="6"/>
  <c r="AR18" i="6"/>
  <c r="AR10" i="6"/>
  <c r="AP42" i="6"/>
  <c r="AP34" i="6"/>
  <c r="AP26" i="6"/>
  <c r="AP18" i="6"/>
  <c r="AP10" i="6"/>
  <c r="AP41" i="6"/>
  <c r="AP33" i="6"/>
  <c r="AP25" i="6"/>
  <c r="AP17" i="6"/>
  <c r="AP9" i="6"/>
  <c r="AN3" i="6"/>
  <c r="AP3" i="6"/>
  <c r="E3" i="6" l="1" a="1"/>
  <c r="E3" i="6" s="1"/>
  <c r="G3" i="6" a="1"/>
  <c r="G3" i="6" s="1"/>
  <c r="AN7" i="6"/>
  <c r="C3" i="6" s="1" a="1"/>
  <c r="C3" i="6" s="1"/>
  <c r="J3" i="6" a="1"/>
  <c r="J3" i="6" s="1"/>
  <c r="E11" i="2"/>
  <c r="AL30" i="6"/>
  <c r="A3" i="6" s="1" a="1"/>
  <c r="A3" i="6" s="1"/>
  <c r="P109" i="6" l="1"/>
  <c r="P101" i="6"/>
  <c r="P93" i="6"/>
  <c r="P92" i="6"/>
  <c r="P111" i="6"/>
  <c r="P96" i="6"/>
  <c r="P108" i="6"/>
  <c r="P94" i="6"/>
  <c r="P103" i="6"/>
  <c r="P107" i="6"/>
  <c r="P105" i="6"/>
  <c r="P102" i="6"/>
  <c r="P99" i="6"/>
  <c r="P98" i="6"/>
  <c r="P100" i="6"/>
  <c r="P104" i="6"/>
  <c r="P113" i="6"/>
  <c r="P110" i="6"/>
  <c r="P114" i="6"/>
  <c r="P97" i="6"/>
  <c r="P106" i="6"/>
  <c r="P112" i="6"/>
  <c r="P95" i="6"/>
  <c r="E12" i="2"/>
  <c r="E13" i="2" s="1"/>
  <c r="E14" i="2" s="1"/>
  <c r="E15" i="2" s="1"/>
  <c r="P29" i="6"/>
  <c r="P41" i="6" l="1"/>
  <c r="P64" i="6"/>
  <c r="P23" i="6"/>
  <c r="P87" i="6"/>
  <c r="P54" i="6"/>
  <c r="P36" i="6"/>
  <c r="P66" i="6"/>
  <c r="P83" i="6"/>
  <c r="P45" i="6"/>
  <c r="P19" i="6"/>
  <c r="P44" i="6"/>
  <c r="P26" i="6"/>
  <c r="P27" i="6"/>
  <c r="P49" i="6"/>
  <c r="P72" i="6"/>
  <c r="P8" i="6"/>
  <c r="P31" i="6"/>
  <c r="P62" i="6"/>
  <c r="P82" i="6"/>
  <c r="P53" i="6"/>
  <c r="P4" i="6"/>
  <c r="P28" i="6"/>
  <c r="P75" i="6"/>
  <c r="P11" i="6"/>
  <c r="P33" i="6"/>
  <c r="P56" i="6"/>
  <c r="P79" i="6"/>
  <c r="P15" i="6"/>
  <c r="P46" i="6"/>
  <c r="P42" i="6"/>
  <c r="P37" i="6"/>
  <c r="P84" i="6"/>
  <c r="P20" i="6"/>
  <c r="P67" i="6"/>
  <c r="P10" i="6"/>
  <c r="P25" i="6"/>
  <c r="P48" i="6"/>
  <c r="P71" i="6"/>
  <c r="P7" i="6"/>
  <c r="P38" i="6"/>
  <c r="P18" i="6"/>
  <c r="P3" i="6"/>
  <c r="P90" i="6"/>
  <c r="P89" i="6"/>
  <c r="P91" i="6"/>
  <c r="P76" i="6"/>
  <c r="P12" i="6"/>
  <c r="P59" i="6"/>
  <c r="P81" i="6"/>
  <c r="P17" i="6"/>
  <c r="P40" i="6"/>
  <c r="P63" i="6"/>
  <c r="P58" i="6"/>
  <c r="P30" i="6"/>
  <c r="P85" i="6"/>
  <c r="P21" i="6"/>
  <c r="P68" i="6"/>
  <c r="P74" i="6"/>
  <c r="P51" i="6"/>
  <c r="P73" i="6"/>
  <c r="P9" i="6"/>
  <c r="P32" i="6"/>
  <c r="P55" i="6"/>
  <c r="P86" i="6"/>
  <c r="P22" i="6"/>
  <c r="P77" i="6"/>
  <c r="P13" i="6"/>
  <c r="P60" i="6"/>
  <c r="P50" i="6"/>
  <c r="P43" i="6"/>
  <c r="P65" i="6"/>
  <c r="P88" i="6"/>
  <c r="P24" i="6"/>
  <c r="P47" i="6"/>
  <c r="P78" i="6"/>
  <c r="P14" i="6"/>
  <c r="P69" i="6"/>
  <c r="P5" i="6"/>
  <c r="P52" i="6"/>
  <c r="P34" i="6"/>
  <c r="P35" i="6"/>
  <c r="P57" i="6"/>
  <c r="P80" i="6"/>
  <c r="P16" i="6"/>
  <c r="P39" i="6"/>
  <c r="P70" i="6"/>
  <c r="P6" i="6"/>
  <c r="P6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<sst xmlns="http://schemas.openxmlformats.org/spreadsheetml/2006/main" count="5432" uniqueCount="1509">
  <si>
    <t>噴火龍</t>
    <phoneticPr fontId="1" type="noConversion"/>
  </si>
  <si>
    <t>閃焰王牌</t>
    <phoneticPr fontId="1" type="noConversion"/>
  </si>
  <si>
    <t>基礎攻擊</t>
    <phoneticPr fontId="1" type="noConversion"/>
  </si>
  <si>
    <t>火系</t>
    <phoneticPr fontId="1" type="noConversion"/>
  </si>
  <si>
    <t>達摩狒狒</t>
    <phoneticPr fontId="1" type="noConversion"/>
  </si>
  <si>
    <t>G</t>
    <phoneticPr fontId="1" type="noConversion"/>
  </si>
  <si>
    <t>D</t>
    <phoneticPr fontId="1" type="noConversion"/>
  </si>
  <si>
    <t>火焰鳥</t>
  </si>
  <si>
    <t>炎帝</t>
    <phoneticPr fontId="1" type="noConversion"/>
  </si>
  <si>
    <t>超級巨/極巨</t>
    <phoneticPr fontId="1" type="noConversion"/>
  </si>
  <si>
    <t>輸出</t>
    <phoneticPr fontId="1" type="noConversion"/>
  </si>
  <si>
    <t>水系</t>
    <phoneticPr fontId="1" type="noConversion"/>
  </si>
  <si>
    <t>火恐龍</t>
    <phoneticPr fontId="1" type="noConversion"/>
  </si>
  <si>
    <t>火紅不倒翁</t>
    <phoneticPr fontId="1" type="noConversion"/>
  </si>
  <si>
    <t>騰蹴小將</t>
  </si>
  <si>
    <t>炎兔兒</t>
    <phoneticPr fontId="1" type="noConversion"/>
  </si>
  <si>
    <t>小火龍</t>
    <phoneticPr fontId="1" type="noConversion"/>
  </si>
  <si>
    <t>千面避役</t>
    <phoneticPr fontId="1" type="noConversion"/>
  </si>
  <si>
    <t>武道熊師(連)</t>
    <phoneticPr fontId="1" type="noConversion"/>
  </si>
  <si>
    <t>巨鉗蟹</t>
    <phoneticPr fontId="1" type="noConversion"/>
  </si>
  <si>
    <t>鐮刀盔</t>
  </si>
  <si>
    <t>菊石獸</t>
  </si>
  <si>
    <t>大鉗蟹</t>
    <phoneticPr fontId="1" type="noConversion"/>
  </si>
  <si>
    <t>水君</t>
    <phoneticPr fontId="1" type="noConversion"/>
  </si>
  <si>
    <t>吼鯨王</t>
    <phoneticPr fontId="1" type="noConversion"/>
  </si>
  <si>
    <t>水箭龜</t>
    <phoneticPr fontId="1" type="noConversion"/>
  </si>
  <si>
    <t>多刺菊石獸</t>
    <phoneticPr fontId="1" type="noConversion"/>
  </si>
  <si>
    <t>吼吼鯨</t>
    <phoneticPr fontId="1" type="noConversion"/>
  </si>
  <si>
    <t>淚眼蜥</t>
    <phoneticPr fontId="1" type="noConversion"/>
  </si>
  <si>
    <t>卡咪龜</t>
    <phoneticPr fontId="1" type="noConversion"/>
  </si>
  <si>
    <t>傑尼龜</t>
    <phoneticPr fontId="1" type="noConversion"/>
  </si>
  <si>
    <t>變澀蜥</t>
    <phoneticPr fontId="1" type="noConversion"/>
  </si>
  <si>
    <t>草系</t>
    <phoneticPr fontId="1" type="noConversion"/>
  </si>
  <si>
    <t>妙蛙花</t>
    <phoneticPr fontId="1" type="noConversion"/>
  </si>
  <si>
    <t>巴大蝶</t>
    <phoneticPr fontId="1" type="noConversion"/>
  </si>
  <si>
    <t>草</t>
    <phoneticPr fontId="1" type="noConversion"/>
  </si>
  <si>
    <t>水</t>
    <phoneticPr fontId="1" type="noConversion"/>
  </si>
  <si>
    <t>惡</t>
    <phoneticPr fontId="1" type="noConversion"/>
  </si>
  <si>
    <t>岩石</t>
  </si>
  <si>
    <t>岩石</t>
    <phoneticPr fontId="1" type="noConversion"/>
  </si>
  <si>
    <t>屬性</t>
    <phoneticPr fontId="1" type="noConversion"/>
  </si>
  <si>
    <t>小招</t>
    <phoneticPr fontId="1" type="noConversion"/>
  </si>
  <si>
    <t>火</t>
    <phoneticPr fontId="1" type="noConversion"/>
  </si>
  <si>
    <t>飛行</t>
    <phoneticPr fontId="1" type="noConversion"/>
  </si>
  <si>
    <t>龍</t>
  </si>
  <si>
    <t>龍</t>
    <phoneticPr fontId="1" type="noConversion"/>
  </si>
  <si>
    <t>蟲</t>
    <phoneticPr fontId="1" type="noConversion"/>
  </si>
  <si>
    <t>超能力</t>
    <phoneticPr fontId="1" type="noConversion"/>
  </si>
  <si>
    <t>耿鬼</t>
    <phoneticPr fontId="1" type="noConversion"/>
  </si>
  <si>
    <t>壺壺</t>
    <phoneticPr fontId="1" type="noConversion"/>
  </si>
  <si>
    <t>勾魂眼</t>
    <phoneticPr fontId="1" type="noConversion"/>
  </si>
  <si>
    <t>巨金怪</t>
    <phoneticPr fontId="1" type="noConversion"/>
  </si>
  <si>
    <t>灰塵山</t>
    <phoneticPr fontId="1" type="noConversion"/>
  </si>
  <si>
    <t>布莉姆溫</t>
    <phoneticPr fontId="1" type="noConversion"/>
  </si>
  <si>
    <t>鐮刀盔</t>
    <phoneticPr fontId="1" type="noConversion"/>
  </si>
  <si>
    <t>急凍鳥</t>
    <phoneticPr fontId="1" type="noConversion"/>
  </si>
  <si>
    <t>閃電鳥</t>
    <phoneticPr fontId="1" type="noConversion"/>
  </si>
  <si>
    <t>火焰鳥</t>
    <phoneticPr fontId="1" type="noConversion"/>
  </si>
  <si>
    <t>高傲雉雞</t>
    <phoneticPr fontId="1" type="noConversion"/>
  </si>
  <si>
    <t>龍頭地鼠</t>
    <phoneticPr fontId="1" type="noConversion"/>
  </si>
  <si>
    <t>幾何雪花</t>
    <phoneticPr fontId="1" type="noConversion"/>
  </si>
  <si>
    <t>鋼鎧鴉</t>
    <phoneticPr fontId="1" type="noConversion"/>
  </si>
  <si>
    <t>怪力</t>
    <phoneticPr fontId="1" type="noConversion"/>
  </si>
  <si>
    <t>幸福蛋</t>
    <phoneticPr fontId="1" type="noConversion"/>
  </si>
  <si>
    <t>雷公</t>
    <phoneticPr fontId="1" type="noConversion"/>
  </si>
  <si>
    <t>狒狒達摩</t>
    <phoneticPr fontId="1" type="noConversion"/>
  </si>
  <si>
    <t>投擲猴</t>
    <phoneticPr fontId="1" type="noConversion"/>
  </si>
  <si>
    <t>藏飽栗鼠</t>
    <phoneticPr fontId="1" type="noConversion"/>
  </si>
  <si>
    <t>毛毛角羊</t>
    <phoneticPr fontId="1" type="noConversion"/>
  </si>
  <si>
    <t>列陣兵</t>
    <phoneticPr fontId="1" type="noConversion"/>
  </si>
  <si>
    <t>格鬥</t>
    <phoneticPr fontId="1" type="noConversion"/>
  </si>
  <si>
    <t>鋼</t>
    <phoneticPr fontId="1" type="noConversion"/>
  </si>
  <si>
    <t>幽靈</t>
    <phoneticPr fontId="1" type="noConversion"/>
  </si>
  <si>
    <t>地面</t>
  </si>
  <si>
    <t>一般</t>
    <phoneticPr fontId="1" type="noConversion"/>
  </si>
  <si>
    <t>地面</t>
    <phoneticPr fontId="1" type="noConversion"/>
  </si>
  <si>
    <t>冰</t>
    <phoneticPr fontId="1" type="noConversion"/>
  </si>
  <si>
    <t>電</t>
    <phoneticPr fontId="1" type="noConversion"/>
  </si>
  <si>
    <t>攻擊</t>
    <phoneticPr fontId="1" type="noConversion"/>
  </si>
  <si>
    <t>防禦</t>
    <phoneticPr fontId="1" type="noConversion"/>
  </si>
  <si>
    <t>毒</t>
    <phoneticPr fontId="1" type="noConversion"/>
  </si>
  <si>
    <t>拉帝歐斯</t>
  </si>
  <si>
    <t>拉帝亞斯</t>
    <phoneticPr fontId="1" type="noConversion"/>
  </si>
  <si>
    <t>妖精</t>
  </si>
  <si>
    <t>多刺菊石獸</t>
  </si>
  <si>
    <t>卡比獸</t>
    <phoneticPr fontId="1" type="noConversion"/>
  </si>
  <si>
    <t>拉普拉斯</t>
    <phoneticPr fontId="1" type="noConversion"/>
  </si>
  <si>
    <t>蒼響</t>
    <phoneticPr fontId="1" type="noConversion"/>
  </si>
  <si>
    <t>藏瑪然特</t>
  </si>
  <si>
    <t>血量</t>
    <phoneticPr fontId="1" type="noConversion"/>
  </si>
  <si>
    <t>武道熊師(一)</t>
    <phoneticPr fontId="1" type="noConversion"/>
  </si>
  <si>
    <t>轟擂金剛猩</t>
    <phoneticPr fontId="1" type="noConversion"/>
  </si>
  <si>
    <t>戰弦蠑螈</t>
    <phoneticPr fontId="1" type="noConversion"/>
  </si>
  <si>
    <t>坦</t>
    <phoneticPr fontId="1" type="noConversion"/>
  </si>
  <si>
    <t>格鬥</t>
  </si>
  <si>
    <t>武道熊師</t>
    <phoneticPr fontId="1" type="noConversion"/>
  </si>
  <si>
    <t>飛行</t>
  </si>
  <si>
    <t>超能力</t>
  </si>
  <si>
    <t>冰</t>
  </si>
  <si>
    <t>妖精</t>
    <phoneticPr fontId="1" type="noConversion"/>
  </si>
  <si>
    <t>火</t>
  </si>
  <si>
    <t>12點</t>
    <phoneticPr fontId="1" type="noConversion"/>
  </si>
  <si>
    <t>能量點</t>
  </si>
  <si>
    <t>能量點</t>
    <phoneticPr fontId="1" type="noConversion"/>
  </si>
  <si>
    <t>500m</t>
    <phoneticPr fontId="1" type="noConversion"/>
  </si>
  <si>
    <t>第一場</t>
    <phoneticPr fontId="1" type="noConversion"/>
  </si>
  <si>
    <t>第二場</t>
    <phoneticPr fontId="1" type="noConversion"/>
  </si>
  <si>
    <t>第三場</t>
    <phoneticPr fontId="1" type="noConversion"/>
  </si>
  <si>
    <t>第四場</t>
    <phoneticPr fontId="1" type="noConversion"/>
  </si>
  <si>
    <t>第五場</t>
    <phoneticPr fontId="1" type="noConversion"/>
  </si>
  <si>
    <t>任務</t>
    <phoneticPr fontId="1" type="noConversion"/>
  </si>
  <si>
    <t>第六場</t>
    <phoneticPr fontId="1" type="noConversion"/>
  </si>
  <si>
    <t>第七場</t>
    <phoneticPr fontId="1" type="noConversion"/>
  </si>
  <si>
    <t>2km</t>
    <phoneticPr fontId="1" type="noConversion"/>
  </si>
  <si>
    <t>屬性一</t>
    <phoneticPr fontId="1" type="noConversion"/>
  </si>
  <si>
    <t>屬性二</t>
    <phoneticPr fontId="1" type="noConversion"/>
  </si>
  <si>
    <t>攻方屬性</t>
    <phoneticPr fontId="1" type="noConversion"/>
  </si>
  <si>
    <t>抗性</t>
    <phoneticPr fontId="1" type="noConversion"/>
  </si>
  <si>
    <t>無</t>
  </si>
  <si>
    <t>無</t>
    <phoneticPr fontId="1" type="noConversion"/>
  </si>
  <si>
    <t>寶可夢</t>
    <phoneticPr fontId="1" type="noConversion"/>
  </si>
  <si>
    <t>基礎防禦</t>
    <phoneticPr fontId="1" type="noConversion"/>
  </si>
  <si>
    <t>抗性防禦</t>
    <phoneticPr fontId="1" type="noConversion"/>
  </si>
  <si>
    <t>原本的300</t>
    <phoneticPr fontId="1" type="noConversion"/>
  </si>
  <si>
    <t>戰弦蠑螈(G)</t>
    <phoneticPr fontId="1" type="noConversion"/>
  </si>
  <si>
    <t>戰弦蠑螈(D)</t>
    <phoneticPr fontId="1" type="noConversion"/>
  </si>
  <si>
    <t>噴火龍(G)</t>
    <phoneticPr fontId="1" type="noConversion"/>
  </si>
  <si>
    <t>閃焰王牌(G)</t>
    <phoneticPr fontId="1" type="noConversion"/>
  </si>
  <si>
    <t>噴火龍(D)</t>
    <phoneticPr fontId="1" type="noConversion"/>
  </si>
  <si>
    <t>閃焰王牌(D)</t>
    <phoneticPr fontId="1" type="noConversion"/>
  </si>
  <si>
    <t>Y</t>
    <phoneticPr fontId="1" type="noConversion"/>
  </si>
  <si>
    <t>N</t>
    <phoneticPr fontId="1" type="noConversion"/>
  </si>
  <si>
    <t>屬修</t>
    <phoneticPr fontId="1" type="noConversion"/>
  </si>
  <si>
    <t>無極汰那</t>
  </si>
  <si>
    <t>等級</t>
    <phoneticPr fontId="1" type="noConversion"/>
  </si>
  <si>
    <t>功</t>
    <phoneticPr fontId="1" type="noConversion"/>
  </si>
  <si>
    <t>防</t>
    <phoneticPr fontId="1" type="noConversion"/>
  </si>
  <si>
    <t>HP</t>
    <phoneticPr fontId="1" type="noConversion"/>
  </si>
  <si>
    <t>CP Calculator - Pokémon GO - GameInfo</t>
    <phoneticPr fontId="1" type="noConversion"/>
  </si>
  <si>
    <t>https://pvpoketw.com/battle/</t>
    <phoneticPr fontId="1" type="noConversion"/>
  </si>
  <si>
    <t>胡地</t>
    <phoneticPr fontId="1" type="noConversion"/>
  </si>
  <si>
    <t>暗影雷吉</t>
    <phoneticPr fontId="1" type="noConversion"/>
  </si>
  <si>
    <t>Mega路卡</t>
    <phoneticPr fontId="1" type="noConversion"/>
  </si>
  <si>
    <t>Mega蜥蜴王</t>
    <phoneticPr fontId="1" type="noConversion"/>
  </si>
  <si>
    <t>Mega雷電獸</t>
    <phoneticPr fontId="1" type="noConversion"/>
  </si>
  <si>
    <t>Mega烈咬陸鯊</t>
    <phoneticPr fontId="1" type="noConversion"/>
  </si>
  <si>
    <t>Mega艾路雷朵</t>
    <phoneticPr fontId="1" type="noConversion"/>
  </si>
  <si>
    <t>Mega班基拉斯</t>
    <phoneticPr fontId="1" type="noConversion"/>
  </si>
  <si>
    <t>焰白酋雷姆</t>
    <phoneticPr fontId="1" type="noConversion"/>
  </si>
  <si>
    <t>奈克洛茲瑪</t>
    <phoneticPr fontId="1" type="noConversion"/>
  </si>
  <si>
    <t>Mega沙奈朵</t>
    <phoneticPr fontId="1" type="noConversion"/>
  </si>
  <si>
    <t>劍之王</t>
    <phoneticPr fontId="1" type="noConversion"/>
  </si>
  <si>
    <t>DPS</t>
    <phoneticPr fontId="1" type="noConversion"/>
  </si>
  <si>
    <t>Mega凱羅斯</t>
    <phoneticPr fontId="1" type="noConversion"/>
  </si>
  <si>
    <t>鋁鋼龍</t>
    <phoneticPr fontId="1" type="noConversion"/>
  </si>
  <si>
    <t>鋼</t>
    <phoneticPr fontId="1" type="noConversion"/>
  </si>
  <si>
    <t>龍</t>
    <phoneticPr fontId="1" type="noConversion"/>
  </si>
  <si>
    <t>一般</t>
    <phoneticPr fontId="1" type="noConversion"/>
  </si>
  <si>
    <t>D</t>
    <phoneticPr fontId="1" type="noConversion"/>
  </si>
  <si>
    <t>惡</t>
  </si>
  <si>
    <t>巨金怪</t>
    <phoneticPr fontId="1" type="noConversion"/>
  </si>
  <si>
    <t>幽靈</t>
    <phoneticPr fontId="1" type="noConversion"/>
  </si>
  <si>
    <t>N</t>
    <phoneticPr fontId="1" type="noConversion"/>
  </si>
  <si>
    <t>D</t>
    <phoneticPr fontId="1" type="noConversion"/>
  </si>
  <si>
    <t>甜冷美后</t>
    <phoneticPr fontId="1" type="noConversion"/>
  </si>
  <si>
    <t>沙奈朵</t>
    <phoneticPr fontId="1" type="noConversion"/>
  </si>
  <si>
    <t>草</t>
  </si>
  <si>
    <t>超級巨伊布</t>
  </si>
  <si>
    <t>超級巨伊布</t>
    <phoneticPr fontId="1" type="noConversion"/>
  </si>
  <si>
    <t>一般</t>
  </si>
  <si>
    <t>水伊布</t>
  </si>
  <si>
    <t>水伊布</t>
    <phoneticPr fontId="1" type="noConversion"/>
  </si>
  <si>
    <t>水</t>
  </si>
  <si>
    <t>雷伊布</t>
  </si>
  <si>
    <t>雷伊布</t>
    <phoneticPr fontId="1" type="noConversion"/>
  </si>
  <si>
    <t>火伊布</t>
  </si>
  <si>
    <t>火伊布</t>
    <phoneticPr fontId="1" type="noConversion"/>
  </si>
  <si>
    <t>電</t>
  </si>
  <si>
    <t>太陽伊布</t>
  </si>
  <si>
    <t>月亮伊布</t>
  </si>
  <si>
    <t>太陽伊布</t>
    <phoneticPr fontId="1" type="noConversion"/>
  </si>
  <si>
    <t>月亮伊布</t>
    <phoneticPr fontId="1" type="noConversion"/>
  </si>
  <si>
    <t>葉伊布</t>
  </si>
  <si>
    <t>葉伊布</t>
    <phoneticPr fontId="1" type="noConversion"/>
  </si>
  <si>
    <t>冰伊布</t>
  </si>
  <si>
    <t>冰伊布</t>
    <phoneticPr fontId="1" type="noConversion"/>
  </si>
  <si>
    <t>仙子伊布</t>
  </si>
  <si>
    <t>仙子伊布</t>
    <phoneticPr fontId="1" type="noConversion"/>
  </si>
  <si>
    <t>艾路雷朵</t>
  </si>
  <si>
    <t>艾路雷朵</t>
    <phoneticPr fontId="1" type="noConversion"/>
  </si>
  <si>
    <t>烏賊王</t>
  </si>
  <si>
    <t>烏賊王</t>
    <phoneticPr fontId="1" type="noConversion"/>
  </si>
  <si>
    <t>心蝙蝠</t>
    <phoneticPr fontId="1" type="noConversion"/>
  </si>
  <si>
    <t>超極巨灰塵山</t>
    <phoneticPr fontId="1" type="noConversion"/>
  </si>
  <si>
    <t>洛奇亞</t>
  </si>
  <si>
    <t>洛奇亞</t>
    <phoneticPr fontId="1" type="noConversion"/>
  </si>
  <si>
    <t>Mega火焰雞</t>
    <phoneticPr fontId="28" type="noConversion"/>
  </si>
  <si>
    <t>萊希拉姆</t>
    <phoneticPr fontId="28" type="noConversion"/>
  </si>
  <si>
    <t>火</t>
    <phoneticPr fontId="28" type="noConversion"/>
  </si>
  <si>
    <t>Mega噴火龍X</t>
    <phoneticPr fontId="1" type="noConversion"/>
  </si>
  <si>
    <t>凱路迪歐(覺悟)</t>
    <phoneticPr fontId="28" type="noConversion"/>
  </si>
  <si>
    <t>Mega赫拉克羅斯</t>
    <phoneticPr fontId="28" type="noConversion"/>
  </si>
  <si>
    <t>Mega巨沼怪</t>
    <phoneticPr fontId="28" type="noConversion"/>
  </si>
  <si>
    <t>Mega水箭龜</t>
    <phoneticPr fontId="28" type="noConversion"/>
  </si>
  <si>
    <t>Mega暴鯉龍</t>
    <phoneticPr fontId="28" type="noConversion"/>
  </si>
  <si>
    <t>烈空坐</t>
    <phoneticPr fontId="1" type="noConversion"/>
  </si>
  <si>
    <t>Mega暴飛龍</t>
    <phoneticPr fontId="28" type="noConversion"/>
  </si>
  <si>
    <t>紙御劍</t>
    <phoneticPr fontId="28" type="noConversion"/>
  </si>
  <si>
    <t>草</t>
    <phoneticPr fontId="28" type="noConversion"/>
  </si>
  <si>
    <t>Mega妙蛙花</t>
    <phoneticPr fontId="28" type="noConversion"/>
  </si>
  <si>
    <t>Mega耿鬼</t>
    <phoneticPr fontId="28" type="noConversion"/>
  </si>
  <si>
    <t>毒</t>
    <phoneticPr fontId="28" type="noConversion"/>
  </si>
  <si>
    <t>Mega大針鋒</t>
    <phoneticPr fontId="28" type="noConversion"/>
  </si>
  <si>
    <t>虛吾伊德</t>
    <phoneticPr fontId="28" type="noConversion"/>
  </si>
  <si>
    <t>雷吉艾勒奇</t>
    <phoneticPr fontId="28" type="noConversion"/>
  </si>
  <si>
    <t>電</t>
    <phoneticPr fontId="28" type="noConversion"/>
  </si>
  <si>
    <t>電束木</t>
  </si>
  <si>
    <t>捷克羅姆</t>
    <phoneticPr fontId="28" type="noConversion"/>
  </si>
  <si>
    <t>雷公</t>
    <phoneticPr fontId="28" type="noConversion"/>
  </si>
  <si>
    <t>原始固拉多</t>
    <phoneticPr fontId="28" type="noConversion"/>
  </si>
  <si>
    <t>地面</t>
    <phoneticPr fontId="28" type="noConversion"/>
  </si>
  <si>
    <t>暗影固拉多</t>
    <phoneticPr fontId="28" type="noConversion"/>
  </si>
  <si>
    <t>固拉多</t>
    <phoneticPr fontId="28" type="noConversion"/>
  </si>
  <si>
    <t>超夢</t>
    <phoneticPr fontId="28" type="noConversion"/>
  </si>
  <si>
    <t>超能力</t>
    <phoneticPr fontId="28" type="noConversion"/>
  </si>
  <si>
    <t>Mega胡地</t>
    <phoneticPr fontId="28" type="noConversion"/>
  </si>
  <si>
    <t>Mega拉帝歐斯</t>
    <phoneticPr fontId="1" type="noConversion"/>
  </si>
  <si>
    <t>Mega蒂安希</t>
    <phoneticPr fontId="28" type="noConversion"/>
  </si>
  <si>
    <t>岩石</t>
    <phoneticPr fontId="28" type="noConversion"/>
  </si>
  <si>
    <t>Mega化石翼龍</t>
    <phoneticPr fontId="28" type="noConversion"/>
  </si>
  <si>
    <t>Mega暴雪王</t>
    <phoneticPr fontId="28" type="noConversion"/>
  </si>
  <si>
    <t>冰</t>
    <phoneticPr fontId="28" type="noConversion"/>
  </si>
  <si>
    <t>象牙豬</t>
    <phoneticPr fontId="28" type="noConversion"/>
  </si>
  <si>
    <t>費洛美螂</t>
    <phoneticPr fontId="28" type="noConversion"/>
  </si>
  <si>
    <t>蟲</t>
    <phoneticPr fontId="28" type="noConversion"/>
  </si>
  <si>
    <t>龍</t>
    <phoneticPr fontId="28" type="noConversion"/>
  </si>
  <si>
    <t>Mega烈咬陸鯊</t>
    <phoneticPr fontId="28" type="noConversion"/>
  </si>
  <si>
    <t>闇黑酋雷姆</t>
    <phoneticPr fontId="28" type="noConversion"/>
  </si>
  <si>
    <t>砰頭小丑</t>
  </si>
  <si>
    <t>幽靈</t>
    <phoneticPr fontId="28" type="noConversion"/>
  </si>
  <si>
    <t>耿鬼</t>
    <phoneticPr fontId="28" type="noConversion"/>
  </si>
  <si>
    <t>惡</t>
    <phoneticPr fontId="28" type="noConversion"/>
  </si>
  <si>
    <t>達克萊伊</t>
    <phoneticPr fontId="28" type="noConversion"/>
  </si>
  <si>
    <t>班基拉斯</t>
    <phoneticPr fontId="28" type="noConversion"/>
  </si>
  <si>
    <t>三首惡龍</t>
    <phoneticPr fontId="28" type="noConversion"/>
  </si>
  <si>
    <t>Mega阿勃梭魯</t>
    <phoneticPr fontId="28" type="noConversion"/>
  </si>
  <si>
    <t>盾之王</t>
    <phoneticPr fontId="28" type="noConversion"/>
  </si>
  <si>
    <t>鋼</t>
    <phoneticPr fontId="28" type="noConversion"/>
  </si>
  <si>
    <t>Mega巨金怪</t>
    <phoneticPr fontId="28" type="noConversion"/>
  </si>
  <si>
    <t>巨金怪</t>
    <phoneticPr fontId="28" type="noConversion"/>
  </si>
  <si>
    <t>哲爾尼亞斯</t>
    <phoneticPr fontId="28" type="noConversion"/>
  </si>
  <si>
    <t>妖精</t>
    <phoneticPr fontId="28" type="noConversion"/>
  </si>
  <si>
    <t>仙子伊布</t>
    <phoneticPr fontId="28" type="noConversion"/>
  </si>
  <si>
    <t>波克基斯</t>
    <phoneticPr fontId="28" type="noConversion"/>
  </si>
  <si>
    <t>眷戀雲化身形態</t>
    <phoneticPr fontId="28" type="noConversion"/>
  </si>
  <si>
    <t>沙奈朵</t>
    <phoneticPr fontId="28" type="noConversion"/>
  </si>
  <si>
    <t>攻/守</t>
    <phoneticPr fontId="1" type="noConversion"/>
  </si>
  <si>
    <t>飛腿郎</t>
    <phoneticPr fontId="1" type="noConversion"/>
  </si>
  <si>
    <t>快拳郎</t>
    <phoneticPr fontId="1" type="noConversion"/>
  </si>
  <si>
    <t>扣400</t>
    <phoneticPr fontId="1" type="noConversion"/>
  </si>
  <si>
    <t>帝牙海獅</t>
  </si>
  <si>
    <t>帝牙海獅</t>
    <phoneticPr fontId="1" type="noConversion"/>
  </si>
  <si>
    <t>龐岩怪</t>
  </si>
  <si>
    <t>龐岩怪</t>
    <phoneticPr fontId="1" type="noConversion"/>
  </si>
  <si>
    <t>老翁龍</t>
  </si>
  <si>
    <t>老翁龍</t>
    <phoneticPr fontId="1" type="noConversion"/>
  </si>
  <si>
    <t>幽靈</t>
  </si>
  <si>
    <t>名稱</t>
    <phoneticPr fontId="1" type="noConversion"/>
  </si>
  <si>
    <t>屬性 1</t>
  </si>
  <si>
    <t>屬性 2</t>
  </si>
  <si>
    <t>攻擊</t>
  </si>
  <si>
    <t>防禦</t>
  </si>
  <si>
    <t>血量</t>
  </si>
  <si>
    <t>妙蛙種子</t>
  </si>
  <si>
    <t>毒</t>
  </si>
  <si>
    <t>妙蛙草</t>
  </si>
  <si>
    <t>妙蛙花</t>
  </si>
  <si>
    <t>小火龍</t>
  </si>
  <si>
    <t>火恐龍</t>
  </si>
  <si>
    <t>噴火龍</t>
  </si>
  <si>
    <t>傑尼龜</t>
  </si>
  <si>
    <t>卡咪龜</t>
  </si>
  <si>
    <t>水箭龜</t>
  </si>
  <si>
    <t>綠毛蟲</t>
  </si>
  <si>
    <t>蟲</t>
  </si>
  <si>
    <t>鐵甲蛹</t>
  </si>
  <si>
    <t>巴大蝶</t>
  </si>
  <si>
    <t>獨角蟲</t>
  </si>
  <si>
    <t>鐵殼蛹</t>
  </si>
  <si>
    <t>大針蜂</t>
  </si>
  <si>
    <t>波波</t>
  </si>
  <si>
    <t>比比鳥</t>
  </si>
  <si>
    <t>大比鳥</t>
  </si>
  <si>
    <t>小拉達</t>
  </si>
  <si>
    <t>小拉達 阿羅拉</t>
  </si>
  <si>
    <t>拉達</t>
  </si>
  <si>
    <t>拉達 阿羅拉</t>
  </si>
  <si>
    <t>烈雀</t>
  </si>
  <si>
    <t>大嘴雀</t>
  </si>
  <si>
    <t>阿柏蛇</t>
  </si>
  <si>
    <t>阿柏怪</t>
  </si>
  <si>
    <t>皮卡丘</t>
  </si>
  <si>
    <t>雷丘</t>
  </si>
  <si>
    <t>雷丘 阿羅拉</t>
  </si>
  <si>
    <t>穿山鼠</t>
  </si>
  <si>
    <t>穿山鼠 阿羅拉</t>
  </si>
  <si>
    <t>鋼</t>
  </si>
  <si>
    <t>穿山王</t>
  </si>
  <si>
    <t>穿山王 阿羅拉</t>
  </si>
  <si>
    <t>尼多蘭</t>
  </si>
  <si>
    <t>尼多娜</t>
  </si>
  <si>
    <t>尼多后</t>
  </si>
  <si>
    <t>尼多朗</t>
  </si>
  <si>
    <t>尼多力諾</t>
  </si>
  <si>
    <t>尼多王</t>
  </si>
  <si>
    <t>皮皮</t>
  </si>
  <si>
    <t>皮可西</t>
  </si>
  <si>
    <t>六尾</t>
  </si>
  <si>
    <t>六尾 阿羅拉</t>
  </si>
  <si>
    <t>九尾</t>
  </si>
  <si>
    <t>九尾 阿羅拉</t>
  </si>
  <si>
    <t>胖丁</t>
  </si>
  <si>
    <t>胖可丁</t>
  </si>
  <si>
    <t>超音蝠</t>
  </si>
  <si>
    <t>大嘴蝠</t>
  </si>
  <si>
    <t>走路草</t>
  </si>
  <si>
    <t>臭臭花</t>
  </si>
  <si>
    <t>霸王花</t>
  </si>
  <si>
    <t>派拉斯</t>
  </si>
  <si>
    <t>派拉斯特</t>
  </si>
  <si>
    <t>毛球</t>
  </si>
  <si>
    <t>摩魯蛾</t>
  </si>
  <si>
    <t>地鼠</t>
  </si>
  <si>
    <t>地鼠 阿羅拉</t>
  </si>
  <si>
    <t>三地鼠</t>
  </si>
  <si>
    <t>三地鼠 阿羅拉</t>
  </si>
  <si>
    <t>喵喵</t>
  </si>
  <si>
    <t>喵喵 阿羅拉</t>
  </si>
  <si>
    <t>喵喵 伽勒爾</t>
  </si>
  <si>
    <t>貓老大</t>
  </si>
  <si>
    <t>貓老大 阿羅拉</t>
  </si>
  <si>
    <t>可達鴨</t>
  </si>
  <si>
    <t>哥達鴨</t>
  </si>
  <si>
    <t>猴怪</t>
  </si>
  <si>
    <t>火爆猴</t>
  </si>
  <si>
    <t>卡蒂狗</t>
  </si>
  <si>
    <t>卡蒂狗 洗翠</t>
  </si>
  <si>
    <t>風速狗</t>
  </si>
  <si>
    <t>風速狗 洗翠</t>
  </si>
  <si>
    <t>蚊香蝌蚪</t>
  </si>
  <si>
    <t>蚊香君</t>
  </si>
  <si>
    <t>蚊香泳士</t>
  </si>
  <si>
    <t>凱西</t>
  </si>
  <si>
    <t>勇基拉</t>
  </si>
  <si>
    <t>胡地</t>
  </si>
  <si>
    <t>腕力</t>
  </si>
  <si>
    <t>豪力</t>
  </si>
  <si>
    <t>怪力</t>
  </si>
  <si>
    <t>喇叭芽</t>
  </si>
  <si>
    <t>口呆花</t>
  </si>
  <si>
    <t>大食花</t>
  </si>
  <si>
    <t>瑪瑙水母</t>
  </si>
  <si>
    <t>毒刺水母</t>
  </si>
  <si>
    <t>小拳石</t>
  </si>
  <si>
    <t>小拳石 阿羅拉</t>
  </si>
  <si>
    <t>隆隆石</t>
  </si>
  <si>
    <t>隆隆石 阿羅拉</t>
  </si>
  <si>
    <t>隆隆岩</t>
  </si>
  <si>
    <t>隆隆岩 阿羅拉</t>
  </si>
  <si>
    <t>小火馬</t>
  </si>
  <si>
    <t>小火馬 伽勒爾</t>
  </si>
  <si>
    <t>烈焰馬</t>
  </si>
  <si>
    <t>烈焰馬 伽勒爾</t>
  </si>
  <si>
    <t>呆呆獸</t>
  </si>
  <si>
    <t>呆呆獸 伽勒爾</t>
  </si>
  <si>
    <t>呆殼獸</t>
  </si>
  <si>
    <t>呆殼獸 伽勒爾</t>
  </si>
  <si>
    <t>小磁怪</t>
  </si>
  <si>
    <t>三合一磁怪</t>
  </si>
  <si>
    <t>大蔥鴨</t>
  </si>
  <si>
    <t>大蔥鴨 伽勒爾</t>
  </si>
  <si>
    <t>嘟嘟</t>
  </si>
  <si>
    <t>嘟嘟利</t>
  </si>
  <si>
    <t>小海獅</t>
  </si>
  <si>
    <t>白海獅</t>
  </si>
  <si>
    <t>臭泥</t>
  </si>
  <si>
    <t>臭泥 阿羅拉</t>
  </si>
  <si>
    <t>臭臭泥</t>
  </si>
  <si>
    <t>臭臭泥 阿羅拉</t>
  </si>
  <si>
    <t>大舌貝</t>
  </si>
  <si>
    <t>刺甲貝</t>
  </si>
  <si>
    <t>鬼斯</t>
  </si>
  <si>
    <t>鬼斯通</t>
  </si>
  <si>
    <t>耿鬼</t>
  </si>
  <si>
    <t>大岩蛇</t>
  </si>
  <si>
    <t>催眠貘</t>
  </si>
  <si>
    <t>引夢貘人</t>
  </si>
  <si>
    <t>大鉗蟹</t>
  </si>
  <si>
    <t>巨鉗蟹</t>
  </si>
  <si>
    <t>霹靂電球</t>
  </si>
  <si>
    <t>霹靂電球 洗翠</t>
  </si>
  <si>
    <t>頑皮雷彈</t>
  </si>
  <si>
    <t>頑皮雷彈 洗翠</t>
  </si>
  <si>
    <t>蛋蛋</t>
  </si>
  <si>
    <t>椰蛋樹</t>
  </si>
  <si>
    <t>椰蛋樹 阿羅拉</t>
  </si>
  <si>
    <t>卡拉卡拉</t>
  </si>
  <si>
    <t>嘎啦嘎啦</t>
  </si>
  <si>
    <t>嘎啦嘎啦 阿羅拉</t>
  </si>
  <si>
    <t>快拳郎</t>
  </si>
  <si>
    <t>大舌頭</t>
  </si>
  <si>
    <t>瓦斯彈</t>
  </si>
  <si>
    <t>雙彈瓦斯</t>
  </si>
  <si>
    <t>雙彈瓦斯 伽勒爾</t>
  </si>
  <si>
    <t>獨角犀牛</t>
  </si>
  <si>
    <t>鑽角犀獸</t>
  </si>
  <si>
    <t>吉利蛋</t>
  </si>
  <si>
    <t>蔓藤怪</t>
  </si>
  <si>
    <t>袋獸</t>
  </si>
  <si>
    <t>墨海馬</t>
  </si>
  <si>
    <t>海刺龍</t>
  </si>
  <si>
    <t>角金魚</t>
  </si>
  <si>
    <t>金魚王</t>
  </si>
  <si>
    <t>海星星</t>
  </si>
  <si>
    <t>寶石海星</t>
  </si>
  <si>
    <t>魔牆人偶</t>
  </si>
  <si>
    <t>魔牆人偶 伽勒爾</t>
  </si>
  <si>
    <t>迷唇姐</t>
  </si>
  <si>
    <t>電擊獸</t>
  </si>
  <si>
    <t>鴨嘴火獸</t>
  </si>
  <si>
    <t>凱羅斯</t>
  </si>
  <si>
    <t>肯泰羅</t>
  </si>
  <si>
    <t>肯泰羅 水瀾</t>
  </si>
  <si>
    <t>肯泰羅 火熾</t>
  </si>
  <si>
    <t>肯泰羅 鬥戰</t>
  </si>
  <si>
    <t>鯉魚王</t>
  </si>
  <si>
    <t>暴鯉龍</t>
  </si>
  <si>
    <t>拉普拉斯</t>
  </si>
  <si>
    <t>百變怪</t>
  </si>
  <si>
    <t>伊布</t>
  </si>
  <si>
    <t>多邊獸</t>
  </si>
  <si>
    <t>化石盔</t>
  </si>
  <si>
    <t>化石翼龍</t>
  </si>
  <si>
    <t>卡比獸</t>
  </si>
  <si>
    <t>急凍鳥</t>
  </si>
  <si>
    <t>急凍鳥 伽勒爾</t>
  </si>
  <si>
    <t>閃電鳥</t>
  </si>
  <si>
    <t>閃電鳥 伽勒爾</t>
  </si>
  <si>
    <t>火焰鳥 伽勒爾</t>
  </si>
  <si>
    <t>迷你龍</t>
  </si>
  <si>
    <t>哈克龍</t>
  </si>
  <si>
    <t>快龍</t>
  </si>
  <si>
    <t>超夢</t>
  </si>
  <si>
    <t>超夢 裝甲</t>
  </si>
  <si>
    <t>夢幻</t>
  </si>
  <si>
    <t>菊草葉</t>
  </si>
  <si>
    <t>月桂葉</t>
  </si>
  <si>
    <t>大竺葵</t>
  </si>
  <si>
    <t>火球鼠</t>
  </si>
  <si>
    <t>火岩鼠</t>
  </si>
  <si>
    <t>火爆獸</t>
  </si>
  <si>
    <t>火爆獸 洗翠</t>
  </si>
  <si>
    <t>小鋸鱷</t>
  </si>
  <si>
    <t>藍鱷</t>
  </si>
  <si>
    <t>大力鱷</t>
  </si>
  <si>
    <t>尾立</t>
  </si>
  <si>
    <t>大尾立</t>
  </si>
  <si>
    <t>咕咕</t>
  </si>
  <si>
    <t>貓頭夜鷹</t>
  </si>
  <si>
    <t>芭瓢蟲</t>
  </si>
  <si>
    <t>安瓢蟲</t>
  </si>
  <si>
    <t>圓絲蛛</t>
  </si>
  <si>
    <t>阿利多斯</t>
  </si>
  <si>
    <t>叉字蝠</t>
  </si>
  <si>
    <t>燈籠魚</t>
  </si>
  <si>
    <t>電燈怪</t>
  </si>
  <si>
    <t>Lanturn</t>
  </si>
  <si>
    <t>皮丘</t>
  </si>
  <si>
    <t>皮寶寶</t>
  </si>
  <si>
    <t>寶寶丁</t>
  </si>
  <si>
    <t>波克比</t>
  </si>
  <si>
    <t>波克基古</t>
  </si>
  <si>
    <t>天然雀</t>
  </si>
  <si>
    <t>天然鳥</t>
  </si>
  <si>
    <t>咩利羊</t>
  </si>
  <si>
    <t>茸茸羊</t>
  </si>
  <si>
    <t>電龍</t>
  </si>
  <si>
    <t>美麗花</t>
  </si>
  <si>
    <t>瑪力露</t>
  </si>
  <si>
    <t>瑪力露麗</t>
  </si>
  <si>
    <t>樹才怪</t>
  </si>
  <si>
    <t>蚊香蛙皇</t>
  </si>
  <si>
    <t>毽子草</t>
  </si>
  <si>
    <t>毽子花</t>
  </si>
  <si>
    <t>毽子棉</t>
  </si>
  <si>
    <t>長尾怪手</t>
  </si>
  <si>
    <t>向日種子</t>
  </si>
  <si>
    <t>向日花怪</t>
  </si>
  <si>
    <t>蜻蜻蜓</t>
  </si>
  <si>
    <t>烏波</t>
  </si>
  <si>
    <t>烏波 帕底亞</t>
  </si>
  <si>
    <t>沼王</t>
  </si>
  <si>
    <t>黑暗鴉</t>
  </si>
  <si>
    <t>呆呆王</t>
  </si>
  <si>
    <t>呆呆王 伽勒爾</t>
  </si>
  <si>
    <t>夢妖</t>
  </si>
  <si>
    <t>未知圖騰</t>
  </si>
  <si>
    <t>果然翁</t>
  </si>
  <si>
    <t>麒麟奇</t>
  </si>
  <si>
    <t>榛果球</t>
  </si>
  <si>
    <t>佛烈托斯</t>
  </si>
  <si>
    <t>土龍弟弟</t>
  </si>
  <si>
    <t>天蠍</t>
  </si>
  <si>
    <t>大鋼蛇</t>
  </si>
  <si>
    <t>布魯</t>
  </si>
  <si>
    <t>布魯皇</t>
  </si>
  <si>
    <t>千針魚</t>
  </si>
  <si>
    <t>千針魚 洗翠</t>
  </si>
  <si>
    <t>巨鉗螳螂</t>
  </si>
  <si>
    <t>壺壺</t>
  </si>
  <si>
    <t>赫拉克羅斯</t>
  </si>
  <si>
    <t>狃拉</t>
  </si>
  <si>
    <t>狃拉 洗翠</t>
  </si>
  <si>
    <t>熊寶寶</t>
  </si>
  <si>
    <t>圈圈熊</t>
  </si>
  <si>
    <t>熔岩蟲</t>
  </si>
  <si>
    <t>熔岩蝸牛</t>
  </si>
  <si>
    <t>小山豬</t>
  </si>
  <si>
    <t>長毛豬</t>
  </si>
  <si>
    <t>太陽珊瑚</t>
  </si>
  <si>
    <t>太陽珊瑚 伽勒爾</t>
  </si>
  <si>
    <t>鐵炮魚</t>
  </si>
  <si>
    <t>章魚桶</t>
  </si>
  <si>
    <t>信使鳥</t>
  </si>
  <si>
    <t>盔甲鳥</t>
  </si>
  <si>
    <t>戴魯比</t>
  </si>
  <si>
    <t>黑魯加</t>
  </si>
  <si>
    <t>刺龍王</t>
  </si>
  <si>
    <t>小小象</t>
  </si>
  <si>
    <t>頓甲</t>
  </si>
  <si>
    <t>多邊獸Ⅱ</t>
  </si>
  <si>
    <t>驚角鹿</t>
  </si>
  <si>
    <t>圖圖犬</t>
  </si>
  <si>
    <t>無畏小子</t>
  </si>
  <si>
    <t>戰舞郎</t>
  </si>
  <si>
    <t>迷唇娃</t>
  </si>
  <si>
    <t>電擊怪</t>
  </si>
  <si>
    <t>鴨嘴寶寶</t>
  </si>
  <si>
    <t>大奶罐</t>
  </si>
  <si>
    <t>幸福蛋</t>
  </si>
  <si>
    <t>雷公</t>
  </si>
  <si>
    <t>炎帝</t>
  </si>
  <si>
    <t>水君</t>
  </si>
  <si>
    <t>幼基拉斯</t>
  </si>
  <si>
    <t>沙基拉斯</t>
  </si>
  <si>
    <t>班基拉斯</t>
  </si>
  <si>
    <t>鳳王</t>
  </si>
  <si>
    <t>時拉比</t>
  </si>
  <si>
    <t>木守宮</t>
  </si>
  <si>
    <t>森林蜥蜴</t>
  </si>
  <si>
    <t>蜥蜴王</t>
  </si>
  <si>
    <t>火稚雞</t>
  </si>
  <si>
    <t>力壯雞</t>
  </si>
  <si>
    <t>火焰雞</t>
  </si>
  <si>
    <t>水躍魚</t>
  </si>
  <si>
    <t>沼躍魚</t>
  </si>
  <si>
    <t>巨沼怪</t>
  </si>
  <si>
    <t>土狼犬</t>
  </si>
  <si>
    <t>大狼犬</t>
  </si>
  <si>
    <t>蛇紋熊</t>
  </si>
  <si>
    <t>蛇紋熊 伽勒爾</t>
  </si>
  <si>
    <t>直衝熊</t>
  </si>
  <si>
    <t>直衝熊 伽勒爾</t>
  </si>
  <si>
    <t>刺尾蟲</t>
  </si>
  <si>
    <t>甲殼繭</t>
  </si>
  <si>
    <t>狩獵鳳蝶</t>
  </si>
  <si>
    <t>盾甲繭</t>
  </si>
  <si>
    <t>毒粉蛾</t>
  </si>
  <si>
    <t>蓮葉童子</t>
  </si>
  <si>
    <t>蓮帽小童</t>
  </si>
  <si>
    <t>樂天河童</t>
  </si>
  <si>
    <t>橡實果</t>
  </si>
  <si>
    <t>長鼻葉</t>
  </si>
  <si>
    <t>狡猾天狗</t>
  </si>
  <si>
    <t>傲骨燕</t>
  </si>
  <si>
    <t>大王燕</t>
  </si>
  <si>
    <t>長翅鷗</t>
  </si>
  <si>
    <t>大嘴鷗</t>
  </si>
  <si>
    <t>拉魯拉絲</t>
  </si>
  <si>
    <t>奇魯莉安</t>
  </si>
  <si>
    <t>沙奈朵</t>
  </si>
  <si>
    <t>溜溜糖球</t>
  </si>
  <si>
    <t>雨翅蛾</t>
  </si>
  <si>
    <t>蘑蘑菇</t>
  </si>
  <si>
    <t>斗笠菇</t>
  </si>
  <si>
    <t>懶人獺</t>
  </si>
  <si>
    <t>過動猿</t>
  </si>
  <si>
    <t>請假王</t>
  </si>
  <si>
    <t>土居忍士</t>
  </si>
  <si>
    <t>鐵面忍者</t>
  </si>
  <si>
    <t>脫殼忍者</t>
  </si>
  <si>
    <t>咕妞妞</t>
  </si>
  <si>
    <t>吼爆彈</t>
  </si>
  <si>
    <t>爆音怪</t>
  </si>
  <si>
    <t>幕下力士</t>
  </si>
  <si>
    <t>鐵掌力士</t>
  </si>
  <si>
    <t>露力麗</t>
  </si>
  <si>
    <t>朝北鼻</t>
  </si>
  <si>
    <t>向尾喵</t>
  </si>
  <si>
    <t>優雅貓</t>
  </si>
  <si>
    <t>勾魂眼</t>
  </si>
  <si>
    <t>大嘴娃</t>
  </si>
  <si>
    <t>可可多拉</t>
  </si>
  <si>
    <t>可多拉</t>
  </si>
  <si>
    <t>波士可多拉</t>
  </si>
  <si>
    <t>瑪沙那</t>
  </si>
  <si>
    <t>恰雷姆</t>
  </si>
  <si>
    <t>落雷獸</t>
  </si>
  <si>
    <t>雷電獸</t>
  </si>
  <si>
    <t>正電拍拍</t>
  </si>
  <si>
    <t>負電拍拍</t>
  </si>
  <si>
    <t>電螢蟲</t>
  </si>
  <si>
    <t>甜甜螢</t>
  </si>
  <si>
    <t>毒薔薇</t>
  </si>
  <si>
    <t>溶食獸</t>
  </si>
  <si>
    <t>吞食獸</t>
  </si>
  <si>
    <t>利牙魚</t>
  </si>
  <si>
    <t>巨牙鯊</t>
  </si>
  <si>
    <t>吼吼鯨</t>
  </si>
  <si>
    <t>吼鯨王</t>
  </si>
  <si>
    <t>呆火駝</t>
  </si>
  <si>
    <t>噴火駝</t>
  </si>
  <si>
    <t>煤炭龜</t>
  </si>
  <si>
    <t>跳跳豬</t>
  </si>
  <si>
    <t>噗噗豬</t>
  </si>
  <si>
    <t>晃晃斑</t>
  </si>
  <si>
    <t>大顎蟻</t>
  </si>
  <si>
    <t>超音波幼蟲</t>
  </si>
  <si>
    <t>沙漠蜻蜓</t>
  </si>
  <si>
    <t>刺球仙人掌</t>
  </si>
  <si>
    <t>夢歌仙人掌</t>
  </si>
  <si>
    <t>青綿鳥</t>
  </si>
  <si>
    <t>七夕青鳥</t>
  </si>
  <si>
    <t>貓鼬斬</t>
  </si>
  <si>
    <t>飯匙蛇</t>
  </si>
  <si>
    <t>月石</t>
  </si>
  <si>
    <t>太陽岩</t>
  </si>
  <si>
    <t>泥泥鰍</t>
  </si>
  <si>
    <t>鯰魚王</t>
  </si>
  <si>
    <t>龍蝦小兵</t>
  </si>
  <si>
    <t>鐵螯龍蝦</t>
  </si>
  <si>
    <t>天秤偶</t>
  </si>
  <si>
    <t>念力土偶</t>
  </si>
  <si>
    <t>觸手百合</t>
  </si>
  <si>
    <t>搖籃百合</t>
  </si>
  <si>
    <t>太古羽蟲</t>
  </si>
  <si>
    <t>太古盔甲</t>
  </si>
  <si>
    <t>醜醜魚</t>
  </si>
  <si>
    <t>美納斯</t>
  </si>
  <si>
    <t>飄浮泡泡</t>
  </si>
  <si>
    <t>飄浮泡泡 雨</t>
  </si>
  <si>
    <t>飄浮泡泡 雪</t>
  </si>
  <si>
    <t>飄浮泡泡 晴</t>
  </si>
  <si>
    <t>變隱龍</t>
  </si>
  <si>
    <t>怨影娃娃</t>
  </si>
  <si>
    <t>詛咒娃娃</t>
  </si>
  <si>
    <t>夜巡靈</t>
  </si>
  <si>
    <t>彷徨夜靈</t>
  </si>
  <si>
    <t>熱帶龍</t>
  </si>
  <si>
    <t>風鈴鈴</t>
  </si>
  <si>
    <t>阿勃梭魯</t>
  </si>
  <si>
    <t>小果然</t>
  </si>
  <si>
    <t>雪童子</t>
  </si>
  <si>
    <t>冰鬼護</t>
  </si>
  <si>
    <t>海豹球</t>
  </si>
  <si>
    <t>海魔獅</t>
  </si>
  <si>
    <t>珍珠貝</t>
  </si>
  <si>
    <t>獵斑魚</t>
  </si>
  <si>
    <t>櫻花魚</t>
  </si>
  <si>
    <t>古空棘魚</t>
  </si>
  <si>
    <t>愛心魚</t>
  </si>
  <si>
    <t>寶貝龍</t>
  </si>
  <si>
    <t>甲殼龍</t>
  </si>
  <si>
    <t>鐵啞鈴</t>
  </si>
  <si>
    <t>金屬怪</t>
  </si>
  <si>
    <t>巨金怪</t>
  </si>
  <si>
    <t>雷吉洛克</t>
  </si>
  <si>
    <t>雷吉艾斯</t>
  </si>
  <si>
    <t>雷吉斯奇魯</t>
  </si>
  <si>
    <t>拉帝亞斯</t>
  </si>
  <si>
    <t>蓋歐卡</t>
  </si>
  <si>
    <t>固拉多</t>
  </si>
  <si>
    <t>烈空坐</t>
  </si>
  <si>
    <t>基拉祈</t>
  </si>
  <si>
    <t>代歐奇希斯</t>
  </si>
  <si>
    <t>代歐奇希斯 攻擊</t>
  </si>
  <si>
    <t>代歐奇希斯 防禦</t>
  </si>
  <si>
    <t>代歐奇希斯 速度</t>
  </si>
  <si>
    <t>草苗龜</t>
  </si>
  <si>
    <t>樹林龜</t>
  </si>
  <si>
    <t>土台龜</t>
  </si>
  <si>
    <t>小火焰猴</t>
  </si>
  <si>
    <t>猛火猴</t>
  </si>
  <si>
    <t>烈焰猴</t>
  </si>
  <si>
    <t>波加曼</t>
  </si>
  <si>
    <t>波皇子</t>
  </si>
  <si>
    <t>帝王拿波</t>
  </si>
  <si>
    <t>姆克兒</t>
  </si>
  <si>
    <t>姆克鳥</t>
  </si>
  <si>
    <t>姆克鷹</t>
  </si>
  <si>
    <t>大牙狸</t>
  </si>
  <si>
    <t>大尾狸</t>
  </si>
  <si>
    <t>圓法師</t>
  </si>
  <si>
    <t>音箱蟀</t>
  </si>
  <si>
    <t>小貓怪</t>
  </si>
  <si>
    <t>勒克貓</t>
  </si>
  <si>
    <t>倫琴貓</t>
  </si>
  <si>
    <t>含羞苞</t>
  </si>
  <si>
    <t>羅絲雷朵</t>
  </si>
  <si>
    <t>頭蓋龍</t>
  </si>
  <si>
    <t>戰槌龍</t>
  </si>
  <si>
    <t>盾甲龍</t>
  </si>
  <si>
    <t>護城龍</t>
  </si>
  <si>
    <t>結草兒 草木</t>
  </si>
  <si>
    <t>結草兒 砂土</t>
  </si>
  <si>
    <t>結草兒 垃圾</t>
  </si>
  <si>
    <t>結草貴婦 草木</t>
  </si>
  <si>
    <t>結草貴婦 砂土</t>
  </si>
  <si>
    <t>結草貴婦 垃圾</t>
  </si>
  <si>
    <t>紳士蛾</t>
  </si>
  <si>
    <t>三蜜蜂</t>
  </si>
  <si>
    <t>蜂女王</t>
  </si>
  <si>
    <t>帕奇利茲</t>
  </si>
  <si>
    <t>泳圈鼬</t>
  </si>
  <si>
    <t>浮潛鼬</t>
  </si>
  <si>
    <t>櫻花寶</t>
  </si>
  <si>
    <t>櫻花兒 花苞</t>
  </si>
  <si>
    <t>櫻花兒 盛開</t>
  </si>
  <si>
    <t>無殼海兔</t>
  </si>
  <si>
    <t>海兔獸</t>
  </si>
  <si>
    <t>雙尾怪手</t>
  </si>
  <si>
    <t>飄飄球</t>
  </si>
  <si>
    <t>隨風球</t>
  </si>
  <si>
    <t>捲捲耳</t>
  </si>
  <si>
    <t>長耳兔</t>
  </si>
  <si>
    <t>夢妖魔</t>
  </si>
  <si>
    <t>烏鴉頭頭</t>
  </si>
  <si>
    <t>魅力喵</t>
  </si>
  <si>
    <t>東施喵</t>
  </si>
  <si>
    <t>鈴鐺響</t>
  </si>
  <si>
    <t>臭鼬噗</t>
  </si>
  <si>
    <t>坦克臭鼬</t>
  </si>
  <si>
    <t>銅鏡怪</t>
  </si>
  <si>
    <t>青銅鐘</t>
  </si>
  <si>
    <t>盆才怪</t>
  </si>
  <si>
    <t>魔尼尼</t>
  </si>
  <si>
    <t>小福蛋</t>
  </si>
  <si>
    <t>聒噪鳥</t>
  </si>
  <si>
    <t>花岩怪</t>
  </si>
  <si>
    <t>圓陸鯊</t>
  </si>
  <si>
    <t>尖牙陸鯊</t>
  </si>
  <si>
    <t>烈咬陸鯊</t>
  </si>
  <si>
    <t>小卡比獸</t>
  </si>
  <si>
    <t>利歐路</t>
  </si>
  <si>
    <t>路卡利歐</t>
  </si>
  <si>
    <t>沙河馬</t>
  </si>
  <si>
    <t>河馬獸</t>
  </si>
  <si>
    <t>鉗尾蠍</t>
  </si>
  <si>
    <t>龍王蠍</t>
  </si>
  <si>
    <t>不良蛙</t>
  </si>
  <si>
    <t>毒骷蛙</t>
  </si>
  <si>
    <t>尖牙籠</t>
  </si>
  <si>
    <t>螢光魚</t>
  </si>
  <si>
    <t>霓虹魚</t>
  </si>
  <si>
    <t>雪笠怪</t>
  </si>
  <si>
    <t>暴雪王</t>
  </si>
  <si>
    <t>瑪狃拉</t>
  </si>
  <si>
    <t>自爆磁怪</t>
  </si>
  <si>
    <t>大舌舔</t>
  </si>
  <si>
    <t>超甲狂犀</t>
  </si>
  <si>
    <t>巨蔓藤</t>
  </si>
  <si>
    <t>電擊魔獸</t>
  </si>
  <si>
    <t>鴨嘴炎獸</t>
  </si>
  <si>
    <t>波克基斯</t>
  </si>
  <si>
    <t>遠古巨蜓</t>
  </si>
  <si>
    <t>天蠍王</t>
  </si>
  <si>
    <t>象牙豬</t>
  </si>
  <si>
    <t>多邊獸Ｚ</t>
  </si>
  <si>
    <t>大朝北鼻</t>
  </si>
  <si>
    <t>黑夜魔靈</t>
  </si>
  <si>
    <t>雪妖女</t>
  </si>
  <si>
    <t>洛托姆 一般</t>
  </si>
  <si>
    <t>洛托姆 旋轉</t>
  </si>
  <si>
    <t>洛托姆 結冰</t>
  </si>
  <si>
    <t>洛托姆 加熱</t>
  </si>
  <si>
    <t>洛托姆 切割</t>
  </si>
  <si>
    <t>洛托姆 清洗</t>
  </si>
  <si>
    <t>由克希</t>
  </si>
  <si>
    <t>艾姆利多</t>
  </si>
  <si>
    <t>亞克諾姆</t>
  </si>
  <si>
    <t>帝牙盧卡</t>
  </si>
  <si>
    <t>帝牙盧卡 起源</t>
  </si>
  <si>
    <t>帕路奇亞</t>
  </si>
  <si>
    <t>帕路奇亞 起源</t>
  </si>
  <si>
    <t>席多藍恩</t>
  </si>
  <si>
    <t>雷吉奇卡斯</t>
  </si>
  <si>
    <t>騎拉帝納 別種</t>
  </si>
  <si>
    <t>騎拉帝納 起源</t>
  </si>
  <si>
    <t>克雷色利亞</t>
  </si>
  <si>
    <t>霏歐納</t>
  </si>
  <si>
    <t>瑪納霏</t>
  </si>
  <si>
    <t>達克萊伊</t>
  </si>
  <si>
    <t>謝米 陸上</t>
  </si>
  <si>
    <t>謝米 天空</t>
  </si>
  <si>
    <t>阿爾宙斯</t>
  </si>
  <si>
    <t>阿爾宙斯 蟲</t>
  </si>
  <si>
    <t>阿爾宙斯 惡</t>
  </si>
  <si>
    <t>阿爾宙斯 龍</t>
  </si>
  <si>
    <t>阿爾宙斯 電</t>
  </si>
  <si>
    <t>阿爾宙斯 妖</t>
  </si>
  <si>
    <t>阿爾宙斯 格</t>
  </si>
  <si>
    <t>阿爾宙斯 火</t>
  </si>
  <si>
    <t>阿爾宙斯 幽</t>
  </si>
  <si>
    <t>阿爾宙斯 草</t>
  </si>
  <si>
    <t>阿爾宙斯 地</t>
  </si>
  <si>
    <t>阿爾宙斯 冰</t>
  </si>
  <si>
    <t>阿爾宙斯 毒</t>
  </si>
  <si>
    <t>阿爾宙斯 超</t>
  </si>
  <si>
    <t>阿爾宙斯 岩</t>
  </si>
  <si>
    <t>阿爾宙斯 鋼</t>
  </si>
  <si>
    <t>阿爾宙斯 水</t>
  </si>
  <si>
    <t>比克提尼</t>
  </si>
  <si>
    <t>藤藤蛇</t>
  </si>
  <si>
    <t>青藤蛇</t>
  </si>
  <si>
    <t>君主蛇</t>
  </si>
  <si>
    <t>暖暖豬</t>
  </si>
  <si>
    <t>炒炒豬</t>
  </si>
  <si>
    <t>炎武王</t>
  </si>
  <si>
    <t>水水獺</t>
  </si>
  <si>
    <t>雙刃丸</t>
  </si>
  <si>
    <t>大劍鬼</t>
  </si>
  <si>
    <t>大劍鬼 洗翠</t>
  </si>
  <si>
    <t>探探鼠</t>
  </si>
  <si>
    <t>步哨鼠</t>
  </si>
  <si>
    <t>小約克</t>
  </si>
  <si>
    <t>哈約克</t>
  </si>
  <si>
    <t>長毛狗</t>
  </si>
  <si>
    <t>扒手貓</t>
  </si>
  <si>
    <t>酷豹</t>
  </si>
  <si>
    <t>花椰猴</t>
  </si>
  <si>
    <t>花椰猿</t>
  </si>
  <si>
    <t>爆香猴</t>
  </si>
  <si>
    <t>爆香猿</t>
  </si>
  <si>
    <t>冷水猴</t>
  </si>
  <si>
    <t>冷水猿</t>
  </si>
  <si>
    <t>食夢夢</t>
  </si>
  <si>
    <t>夢夢蝕</t>
  </si>
  <si>
    <t>豆豆鴿</t>
  </si>
  <si>
    <t>咕咕鴿</t>
  </si>
  <si>
    <t>高傲雉雞</t>
  </si>
  <si>
    <t>斑斑馬</t>
  </si>
  <si>
    <t>雷電斑馬</t>
  </si>
  <si>
    <t>石丸子</t>
  </si>
  <si>
    <t>地幔岩</t>
  </si>
  <si>
    <t>滾滾蝙蝠</t>
  </si>
  <si>
    <t>心蝙蝠</t>
  </si>
  <si>
    <t>螺釘地鼠</t>
  </si>
  <si>
    <t>龍頭地鼠</t>
  </si>
  <si>
    <t>差不多娃娃</t>
  </si>
  <si>
    <t>搬運小匠</t>
  </si>
  <si>
    <t>鐵骨土人</t>
  </si>
  <si>
    <t>修建老匠</t>
  </si>
  <si>
    <t>圓蝌蚪</t>
  </si>
  <si>
    <t>藍蟾蜍</t>
  </si>
  <si>
    <t>蟾蜍王</t>
  </si>
  <si>
    <t>投摔鬼</t>
  </si>
  <si>
    <t>打擊鬼</t>
  </si>
  <si>
    <t>蟲寶包</t>
  </si>
  <si>
    <t>寶包繭</t>
  </si>
  <si>
    <t>保母蟲</t>
  </si>
  <si>
    <t>百足蜈蚣</t>
  </si>
  <si>
    <t>車輪毬</t>
  </si>
  <si>
    <t>蜈蚣王</t>
  </si>
  <si>
    <t>木棉球</t>
  </si>
  <si>
    <t>風妖精</t>
  </si>
  <si>
    <t>百合根娃娃</t>
  </si>
  <si>
    <t>裙兒小姐</t>
  </si>
  <si>
    <t>裙兒小姐 洗翠</t>
  </si>
  <si>
    <t>野蠻鱸魚</t>
  </si>
  <si>
    <t>黑眼鱷</t>
  </si>
  <si>
    <t>混混鱷</t>
  </si>
  <si>
    <t>流氓鱷</t>
  </si>
  <si>
    <t>火紅不倒翁</t>
  </si>
  <si>
    <t>火紅不倒翁 伽勒爾</t>
  </si>
  <si>
    <t>達摩狒狒 伽勒爾達摩</t>
  </si>
  <si>
    <t>達摩狒狒 伽勒爾普通</t>
  </si>
  <si>
    <t>達摩狒狒 普通</t>
  </si>
  <si>
    <t>達摩狒狒 達摩</t>
  </si>
  <si>
    <t>沙鈴仙人掌</t>
  </si>
  <si>
    <t>石居蟹</t>
  </si>
  <si>
    <t>岩殿居蟹</t>
  </si>
  <si>
    <t>滑滑小子</t>
  </si>
  <si>
    <t>頭巾混混</t>
  </si>
  <si>
    <t>象徵鳥</t>
  </si>
  <si>
    <t>哭哭面具</t>
  </si>
  <si>
    <t>哭哭面具 伽勒爾</t>
  </si>
  <si>
    <t>死神棺</t>
  </si>
  <si>
    <t>原蓋海龜</t>
  </si>
  <si>
    <t>肋骨海龜</t>
  </si>
  <si>
    <t>始祖小鳥</t>
  </si>
  <si>
    <t>始祖大鳥</t>
  </si>
  <si>
    <t>破破袋</t>
  </si>
  <si>
    <t>灰塵山</t>
  </si>
  <si>
    <t>索羅亞</t>
  </si>
  <si>
    <t>索羅亞 洗翠</t>
  </si>
  <si>
    <t>索羅亞克</t>
  </si>
  <si>
    <t>索羅亞克 洗翠</t>
  </si>
  <si>
    <t>泡沫栗鼠</t>
  </si>
  <si>
    <t>奇諾栗鼠</t>
  </si>
  <si>
    <t>哥德寶寶</t>
  </si>
  <si>
    <t>哥德小童</t>
  </si>
  <si>
    <t>哥德小姐</t>
  </si>
  <si>
    <t>單卵細胞球</t>
  </si>
  <si>
    <t>雙卵細胞球</t>
  </si>
  <si>
    <t>人造細胞卵</t>
  </si>
  <si>
    <t>鴨寶寶</t>
  </si>
  <si>
    <t>舞天鵝</t>
  </si>
  <si>
    <t>迷你冰</t>
  </si>
  <si>
    <t>多多冰</t>
  </si>
  <si>
    <t>雙倍多多冰</t>
  </si>
  <si>
    <t>四季鹿</t>
  </si>
  <si>
    <t>萌芽鹿</t>
  </si>
  <si>
    <t>蓋蓋蟲</t>
  </si>
  <si>
    <t>騎士蝸牛</t>
  </si>
  <si>
    <t>哎呀球菇</t>
  </si>
  <si>
    <t>敗露球菇</t>
  </si>
  <si>
    <t>輕飄飄</t>
  </si>
  <si>
    <t>胖嘟嘟</t>
  </si>
  <si>
    <t>保母曼波</t>
  </si>
  <si>
    <t>電電蟲</t>
  </si>
  <si>
    <t>電蜘蛛</t>
  </si>
  <si>
    <t>種子鐵球</t>
  </si>
  <si>
    <t>堅果啞鈴</t>
  </si>
  <si>
    <t>齒輪兒</t>
  </si>
  <si>
    <t>齒輪組</t>
  </si>
  <si>
    <t>齒輪怪</t>
  </si>
  <si>
    <t>麻麻小魚</t>
  </si>
  <si>
    <t>麻麻鰻</t>
  </si>
  <si>
    <t>麻麻鰻魚王</t>
  </si>
  <si>
    <t>小灰怪</t>
  </si>
  <si>
    <t>大宇怪</t>
  </si>
  <si>
    <t>燭光靈</t>
  </si>
  <si>
    <t>燈火幽靈</t>
  </si>
  <si>
    <t>水晶燈火靈</t>
  </si>
  <si>
    <t>牙牙</t>
  </si>
  <si>
    <t>斧牙龍</t>
  </si>
  <si>
    <t>雙斧戰龍</t>
  </si>
  <si>
    <t>噴嚏熊</t>
  </si>
  <si>
    <t>凍原熊</t>
  </si>
  <si>
    <t>幾何雪花</t>
  </si>
  <si>
    <t>小嘴蝸</t>
  </si>
  <si>
    <t>敏捷蟲</t>
  </si>
  <si>
    <t>泥巴魚</t>
  </si>
  <si>
    <t>泥巴魚 伽勒爾</t>
  </si>
  <si>
    <t>功夫鼬</t>
  </si>
  <si>
    <t>師父鼬</t>
  </si>
  <si>
    <t>赤面龍</t>
  </si>
  <si>
    <t>泥偶小人</t>
  </si>
  <si>
    <t>泥偶巨人</t>
  </si>
  <si>
    <t>駒刀小兵</t>
  </si>
  <si>
    <t>劈斬司令</t>
  </si>
  <si>
    <t>爆炸頭水牛</t>
  </si>
  <si>
    <t>毛頭小鷹</t>
  </si>
  <si>
    <t>勇士雄鷹</t>
  </si>
  <si>
    <t>勇士雄鷹 洗翠</t>
  </si>
  <si>
    <t>禿鷹丫頭</t>
  </si>
  <si>
    <t>禿鷹娜</t>
  </si>
  <si>
    <t>熔蟻獸</t>
  </si>
  <si>
    <t>鐵蟻</t>
  </si>
  <si>
    <t>單首龍</t>
  </si>
  <si>
    <t>雙首暴龍</t>
  </si>
  <si>
    <t>三首惡龍</t>
  </si>
  <si>
    <t>燃燒蟲</t>
  </si>
  <si>
    <t>火神蛾</t>
  </si>
  <si>
    <t>勾帕路翁</t>
  </si>
  <si>
    <t>代拉基翁</t>
  </si>
  <si>
    <t>畢力吉翁</t>
  </si>
  <si>
    <t>龍捲雲 化身</t>
  </si>
  <si>
    <t>龍捲雲 靈獸</t>
  </si>
  <si>
    <t>雷電雲 化身</t>
  </si>
  <si>
    <t>雷電雲 靈獸</t>
  </si>
  <si>
    <t>萊希拉姆</t>
  </si>
  <si>
    <t>捷克羅姆</t>
  </si>
  <si>
    <t>土地雲 化身</t>
  </si>
  <si>
    <t>土地雲 靈獸</t>
  </si>
  <si>
    <t>酋雷姆</t>
  </si>
  <si>
    <t>酋雷姆 闇黑</t>
  </si>
  <si>
    <t>酋雷姆 焰白</t>
  </si>
  <si>
    <t>凱路迪歐 平常</t>
  </si>
  <si>
    <t>凱路迪歐 覺悟</t>
  </si>
  <si>
    <t>美洛耶塔 歌聲</t>
  </si>
  <si>
    <t>美洛耶塔 舞步</t>
  </si>
  <si>
    <t>蓋諾賽克特</t>
  </si>
  <si>
    <t>蓋諾賽克特 火焰</t>
  </si>
  <si>
    <t>蓋諾賽克特 冰凍</t>
  </si>
  <si>
    <t>蓋諾賽克特 水流</t>
  </si>
  <si>
    <t>蓋諾賽克特 閃電</t>
  </si>
  <si>
    <t>哈力栗</t>
  </si>
  <si>
    <t>胖胖哈力</t>
  </si>
  <si>
    <t>布里卡隆</t>
  </si>
  <si>
    <t>火狐狸</t>
  </si>
  <si>
    <t>長尾火狐</t>
  </si>
  <si>
    <t>妖火紅狐</t>
  </si>
  <si>
    <t>呱呱泡蛙</t>
  </si>
  <si>
    <t>呱頭蛙</t>
  </si>
  <si>
    <t>甲賀忍蛙</t>
  </si>
  <si>
    <t>掘掘兔</t>
  </si>
  <si>
    <t>掘地兔</t>
  </si>
  <si>
    <t>小箭雀</t>
  </si>
  <si>
    <t>火箭雀</t>
  </si>
  <si>
    <t>烈箭鷹</t>
  </si>
  <si>
    <t>粉蝶蟲</t>
  </si>
  <si>
    <t>粉蝶蛹</t>
  </si>
  <si>
    <t>彩粉蝶</t>
  </si>
  <si>
    <t>小獅獅</t>
  </si>
  <si>
    <t>火炎獅</t>
  </si>
  <si>
    <t>花蓓蓓</t>
  </si>
  <si>
    <t>花葉蒂</t>
  </si>
  <si>
    <t>花潔夫人</t>
  </si>
  <si>
    <t>坐騎小羊</t>
  </si>
  <si>
    <t>坐騎山羊</t>
  </si>
  <si>
    <t>頑皮熊貓</t>
  </si>
  <si>
    <t>流氓熊貓</t>
  </si>
  <si>
    <t>多麗米亞</t>
  </si>
  <si>
    <t>妙喵</t>
  </si>
  <si>
    <t>超能妙喵 雌</t>
  </si>
  <si>
    <t>超能妙喵 雄</t>
  </si>
  <si>
    <t>獨劍鞘</t>
  </si>
  <si>
    <t>雙劍鞘</t>
  </si>
  <si>
    <t>堅盾劍怪 刀劍</t>
  </si>
  <si>
    <t>堅盾劍怪 盾牌</t>
  </si>
  <si>
    <t>粉香香</t>
  </si>
  <si>
    <t>芳香精</t>
  </si>
  <si>
    <t>綿綿泡芙</t>
  </si>
  <si>
    <t>胖甜妮</t>
  </si>
  <si>
    <t>好啦魷</t>
  </si>
  <si>
    <t>龜腳腳</t>
  </si>
  <si>
    <t>龜足巨鎧</t>
  </si>
  <si>
    <t>垃垃藻</t>
  </si>
  <si>
    <t>毒藻龍</t>
  </si>
  <si>
    <t>鐵臂槍蝦</t>
  </si>
  <si>
    <t>鋼炮臂蝦</t>
  </si>
  <si>
    <t>傘電蜥</t>
  </si>
  <si>
    <t>光電傘蜥</t>
  </si>
  <si>
    <t>寶寶暴龍</t>
  </si>
  <si>
    <t>怪顎龍</t>
  </si>
  <si>
    <t>冰雪龍</t>
  </si>
  <si>
    <t>冰雪巨龍</t>
  </si>
  <si>
    <t>摔角鷹人</t>
  </si>
  <si>
    <t>咚咚鼠</t>
  </si>
  <si>
    <t>小碎鑽</t>
  </si>
  <si>
    <t>黏黏寶</t>
  </si>
  <si>
    <t>黏美兒</t>
  </si>
  <si>
    <t>黏美龍</t>
  </si>
  <si>
    <t>鑰圈兒</t>
  </si>
  <si>
    <t>小木靈</t>
  </si>
  <si>
    <t>朽木妖</t>
  </si>
  <si>
    <t>南瓜精 普通尺寸</t>
  </si>
  <si>
    <t>南瓜精 大尺寸</t>
  </si>
  <si>
    <t>南瓜精 小尺寸</t>
  </si>
  <si>
    <t>南瓜精 特大尺寸</t>
  </si>
  <si>
    <t>南瓜怪人 普通尺寸</t>
  </si>
  <si>
    <t>南瓜怪人 大尺寸</t>
  </si>
  <si>
    <t>南瓜怪人 小尺寸</t>
  </si>
  <si>
    <t>南瓜怪人 特大尺寸</t>
  </si>
  <si>
    <t>冰寶</t>
  </si>
  <si>
    <t>冰岩怪</t>
  </si>
  <si>
    <t>冰岩怪 洗翠</t>
  </si>
  <si>
    <t>嗡蝠</t>
  </si>
  <si>
    <t>音波龍</t>
  </si>
  <si>
    <t>哲爾尼亞斯</t>
  </si>
  <si>
    <t>伊裴爾塔爾</t>
  </si>
  <si>
    <t>基格爾德 10%</t>
  </si>
  <si>
    <t>基格爾德 50%</t>
  </si>
  <si>
    <t>基格爾德 完全體</t>
  </si>
  <si>
    <t>蒂安希</t>
  </si>
  <si>
    <t>胡帕</t>
  </si>
  <si>
    <t>胡帕 懲戒</t>
  </si>
  <si>
    <t>胡帕 解放</t>
  </si>
  <si>
    <t>波爾凱尼恩</t>
  </si>
  <si>
    <t>木木梟</t>
  </si>
  <si>
    <t>投羽梟</t>
  </si>
  <si>
    <t>狙射樹梟</t>
  </si>
  <si>
    <t>狙射樹梟 洗翠</t>
  </si>
  <si>
    <t>火斑喵</t>
  </si>
  <si>
    <t>炎熱喵</t>
  </si>
  <si>
    <t>熾焰咆哮虎</t>
  </si>
  <si>
    <t>球球海獅</t>
  </si>
  <si>
    <t>花漾海獅</t>
  </si>
  <si>
    <t>西獅海壬</t>
  </si>
  <si>
    <t>小篤兒</t>
  </si>
  <si>
    <t>喇叭啄鳥</t>
  </si>
  <si>
    <t>銃嘴大鳥</t>
  </si>
  <si>
    <t>貓鼬少</t>
  </si>
  <si>
    <t>貓鼬探長</t>
  </si>
  <si>
    <t>強顎雞母蟲</t>
  </si>
  <si>
    <t>蟲電寶</t>
  </si>
  <si>
    <t>鍬農炮蟲</t>
  </si>
  <si>
    <t>好勝蟹</t>
  </si>
  <si>
    <t>好勝毛蟹</t>
  </si>
  <si>
    <t>花舞鳥 熱辣熱辣</t>
  </si>
  <si>
    <t>花舞鳥 呼拉呼拉</t>
  </si>
  <si>
    <t>花舞鳥 啪滋啪滋</t>
  </si>
  <si>
    <t>花舞鳥 輕盈輕盈</t>
  </si>
  <si>
    <t>萌虻</t>
  </si>
  <si>
    <t>蝶結萌虻</t>
  </si>
  <si>
    <t>岩狗狗</t>
  </si>
  <si>
    <t>鬃岩狼人 黃昏</t>
  </si>
  <si>
    <t>鬃岩狼人 白晝</t>
  </si>
  <si>
    <t>鬃岩狼人 黑夜</t>
  </si>
  <si>
    <t>弱丁魚</t>
  </si>
  <si>
    <t>弱丁魚 魚群</t>
  </si>
  <si>
    <t>弱丁魚 單獨</t>
  </si>
  <si>
    <t>好壞星</t>
  </si>
  <si>
    <t>超壞星</t>
  </si>
  <si>
    <t>泥驢仔</t>
  </si>
  <si>
    <t>重泥挽馬</t>
  </si>
  <si>
    <t>滴蛛</t>
  </si>
  <si>
    <t>滴蛛霸</t>
  </si>
  <si>
    <t>偽螳草</t>
  </si>
  <si>
    <t>蘭螳花</t>
  </si>
  <si>
    <t>睡睡菇</t>
  </si>
  <si>
    <t>燈罩夜菇</t>
  </si>
  <si>
    <t>夜盜火蜥</t>
  </si>
  <si>
    <t>焰后蜥</t>
  </si>
  <si>
    <t>童偶熊</t>
  </si>
  <si>
    <t>穿著熊</t>
  </si>
  <si>
    <t>甜竹竹</t>
  </si>
  <si>
    <t>甜舞妮</t>
  </si>
  <si>
    <t>甜冷美后</t>
  </si>
  <si>
    <t>花療環環</t>
  </si>
  <si>
    <t>智揮猩</t>
  </si>
  <si>
    <t>投擲猴</t>
  </si>
  <si>
    <t>膽小蟲</t>
  </si>
  <si>
    <t>具甲武者</t>
  </si>
  <si>
    <t>Golisopod</t>
  </si>
  <si>
    <t>沙丘娃</t>
  </si>
  <si>
    <t>噬沙堡爺</t>
  </si>
  <si>
    <t>拳海參</t>
  </si>
  <si>
    <t>屬性：空</t>
  </si>
  <si>
    <t>銀伴戰獸</t>
  </si>
  <si>
    <t>銀伴戰獸 蟲</t>
  </si>
  <si>
    <t>銀伴戰獸 惡</t>
  </si>
  <si>
    <t>銀伴戰獸 龍</t>
  </si>
  <si>
    <t>銀伴戰獸 電</t>
  </si>
  <si>
    <t>銀伴戰獸 妖</t>
  </si>
  <si>
    <t>銀伴戰獸 鬥</t>
  </si>
  <si>
    <t>銀伴戰獸 火</t>
  </si>
  <si>
    <t>銀伴戰獸 幽</t>
  </si>
  <si>
    <t>銀伴戰獸 草</t>
  </si>
  <si>
    <t>銀伴戰獸 地</t>
  </si>
  <si>
    <t>銀伴戰獸 冰</t>
  </si>
  <si>
    <t>銀伴戰獸 毒</t>
  </si>
  <si>
    <t>銀伴戰獸 超</t>
  </si>
  <si>
    <t>銀伴戰獸 岩</t>
  </si>
  <si>
    <t>銀伴戰獸 鋼</t>
  </si>
  <si>
    <t>銀伴戰獸 水</t>
  </si>
  <si>
    <t>小隕星 核心</t>
  </si>
  <si>
    <t>小隕星 流星</t>
  </si>
  <si>
    <t>樹枕尾熊</t>
  </si>
  <si>
    <t>爆焰龜獸</t>
  </si>
  <si>
    <t>托戈德瑪爾</t>
  </si>
  <si>
    <t>謎擬Ｑ</t>
  </si>
  <si>
    <t>磨牙彩皮魚</t>
  </si>
  <si>
    <t>破破舵輪</t>
  </si>
  <si>
    <t>心鱗寶</t>
  </si>
  <si>
    <t>鱗甲龍</t>
  </si>
  <si>
    <t>杖尾鱗甲龍</t>
  </si>
  <si>
    <t>卡璞・鳴鳴</t>
  </si>
  <si>
    <t>卡璞・蝶蝶</t>
  </si>
  <si>
    <t>卡璞・哞哞</t>
  </si>
  <si>
    <t>卡璞・鰭鰭</t>
  </si>
  <si>
    <t>科斯莫古</t>
  </si>
  <si>
    <t>科斯莫姆</t>
  </si>
  <si>
    <t>索爾迦雷歐</t>
  </si>
  <si>
    <t>露奈雅拉</t>
  </si>
  <si>
    <t>虛吾伊德</t>
  </si>
  <si>
    <t>爆肌蚊</t>
  </si>
  <si>
    <t>費洛美螂</t>
  </si>
  <si>
    <t>鐵火輝夜</t>
  </si>
  <si>
    <t>紙御劍</t>
  </si>
  <si>
    <t>惡食大王</t>
  </si>
  <si>
    <t>奈克洛茲瑪</t>
  </si>
  <si>
    <t>奈克洛茲瑪 拂曉之翼</t>
  </si>
  <si>
    <t>奈克洛茲瑪 黃昏之鬃</t>
  </si>
  <si>
    <t>奈克洛茲瑪 究極</t>
  </si>
  <si>
    <t>瑪機雅娜</t>
  </si>
  <si>
    <t>瑪夏多</t>
  </si>
  <si>
    <t>毒貝比</t>
  </si>
  <si>
    <t>四顎針龍</t>
  </si>
  <si>
    <t>壘磊石</t>
  </si>
  <si>
    <t>捷拉奧拉</t>
  </si>
  <si>
    <t>美錄坦</t>
  </si>
  <si>
    <t>美錄梅塔</t>
  </si>
  <si>
    <t>敲音猴</t>
  </si>
  <si>
    <t>啪咚猴</t>
  </si>
  <si>
    <t>轟擂金剛猩</t>
  </si>
  <si>
    <t>炎兔兒</t>
  </si>
  <si>
    <t>閃焰王牌</t>
  </si>
  <si>
    <t>淚眼蜥</t>
  </si>
  <si>
    <t>變澀蜥</t>
  </si>
  <si>
    <t>千面避役</t>
  </si>
  <si>
    <t>貪心栗鼠</t>
  </si>
  <si>
    <t>藏飽栗鼠</t>
  </si>
  <si>
    <t>稚山雀</t>
  </si>
  <si>
    <t>藍鴉</t>
  </si>
  <si>
    <t>鋼鎧鴉</t>
  </si>
  <si>
    <t>索偵蟲</t>
  </si>
  <si>
    <t>天罩蟲</t>
  </si>
  <si>
    <t>以歐路普</t>
  </si>
  <si>
    <t>偷兒狐</t>
  </si>
  <si>
    <t>狐大盜</t>
  </si>
  <si>
    <t>幼棉棉</t>
  </si>
  <si>
    <t>白蓬蓬</t>
  </si>
  <si>
    <t>毛辮羊</t>
  </si>
  <si>
    <t>毛毛角羊</t>
  </si>
  <si>
    <t>咬咬龜</t>
  </si>
  <si>
    <t>暴噬龜</t>
  </si>
  <si>
    <t>來電汪</t>
  </si>
  <si>
    <t>逐電犬</t>
  </si>
  <si>
    <t>小炭仔</t>
  </si>
  <si>
    <t>大炭車</t>
  </si>
  <si>
    <t>巨炭山</t>
  </si>
  <si>
    <t>啃果蟲</t>
  </si>
  <si>
    <t>蘋裹龍</t>
  </si>
  <si>
    <t>豐蜜龍</t>
  </si>
  <si>
    <t>沙包蛇</t>
  </si>
  <si>
    <t>沙螺蟒</t>
  </si>
  <si>
    <t>古月鳥</t>
  </si>
  <si>
    <t>刺梭魚</t>
  </si>
  <si>
    <t>戽斗尖梭</t>
  </si>
  <si>
    <t>毒電嬰</t>
  </si>
  <si>
    <t>顫弦蠑螈</t>
  </si>
  <si>
    <t>顫弦蠑螈 高調</t>
  </si>
  <si>
    <t>顫弦蠑螈 低調</t>
  </si>
  <si>
    <t>燒火蚣</t>
  </si>
  <si>
    <t>焚焰蚣</t>
  </si>
  <si>
    <t>拳拳蛸</t>
  </si>
  <si>
    <t>八爪武師</t>
  </si>
  <si>
    <t>來悲茶</t>
  </si>
  <si>
    <t>怖思壺</t>
  </si>
  <si>
    <t>迷布莉姆</t>
  </si>
  <si>
    <t>提布莉姆</t>
  </si>
  <si>
    <t>布莉姆溫</t>
  </si>
  <si>
    <t>搗蛋小妖</t>
  </si>
  <si>
    <t>詐唬魔</t>
  </si>
  <si>
    <t>長毛巨魔</t>
  </si>
  <si>
    <t>堵攔熊</t>
  </si>
  <si>
    <t>喵頭目</t>
  </si>
  <si>
    <t>魔靈珊瑚</t>
  </si>
  <si>
    <t>蔥遊兵</t>
  </si>
  <si>
    <t>踏冰人偶</t>
  </si>
  <si>
    <t>死神板</t>
  </si>
  <si>
    <t>小仙奶</t>
  </si>
  <si>
    <t>霜奶仙</t>
  </si>
  <si>
    <t>列陣兵</t>
  </si>
  <si>
    <t>啪嚓海膽</t>
  </si>
  <si>
    <t>雪吞蟲</t>
  </si>
  <si>
    <t>雪絨蛾</t>
  </si>
  <si>
    <t>巨石丁</t>
  </si>
  <si>
    <t>冰砌鵝</t>
  </si>
  <si>
    <t>冰砌鵝 結凍頭</t>
  </si>
  <si>
    <t>冰砌鵝 解凍頭</t>
  </si>
  <si>
    <t>愛管侍 雌</t>
  </si>
  <si>
    <t>愛管侍 雄</t>
  </si>
  <si>
    <t>莫魯貝可 滿腹花紋</t>
  </si>
  <si>
    <t>莫魯貝可 空腹花紋</t>
  </si>
  <si>
    <t>銅象</t>
  </si>
  <si>
    <t>大王銅象</t>
  </si>
  <si>
    <t>雷鳥龍</t>
  </si>
  <si>
    <t>雷鳥海獸</t>
  </si>
  <si>
    <t>鰓魚龍</t>
  </si>
  <si>
    <t>鰓魚海獸</t>
  </si>
  <si>
    <t>鋁鋼龍</t>
  </si>
  <si>
    <t>多龍梅西亞</t>
  </si>
  <si>
    <t>多龍奇</t>
  </si>
  <si>
    <t>多龍巴魯托</t>
  </si>
  <si>
    <t>蒼響 百戰勇者</t>
  </si>
  <si>
    <t>藏瑪然特 百戰勇者</t>
  </si>
  <si>
    <t>無極汰那 無極巨化</t>
  </si>
  <si>
    <t>熊徒弟</t>
  </si>
  <si>
    <t>武道熊師 連擊流</t>
  </si>
  <si>
    <t>武道熊師 一擊流</t>
  </si>
  <si>
    <t>薩戮德</t>
  </si>
  <si>
    <t>雷吉艾勒奇</t>
  </si>
  <si>
    <t>雷吉鐸拉戈</t>
  </si>
  <si>
    <t>雪暴馬</t>
  </si>
  <si>
    <t>靈幽馬</t>
  </si>
  <si>
    <t>蕾冠王</t>
  </si>
  <si>
    <t>蕾冠王 騎乘白馬</t>
  </si>
  <si>
    <t>詭角鹿</t>
  </si>
  <si>
    <t>劈斧螳螂</t>
  </si>
  <si>
    <t>月月熊</t>
  </si>
  <si>
    <t>幽尾玄魚 雌</t>
  </si>
  <si>
    <t>幽尾玄魚 雄</t>
  </si>
  <si>
    <t>大狃拉</t>
  </si>
  <si>
    <t>萬針魚</t>
  </si>
  <si>
    <t>眷戀雲 化身</t>
  </si>
  <si>
    <t>眷戀雲 靈獸</t>
  </si>
  <si>
    <t>新葉喵</t>
  </si>
  <si>
    <t>蒂蕾喵</t>
  </si>
  <si>
    <t>魔幻假面喵</t>
  </si>
  <si>
    <t>呆火鱷</t>
  </si>
  <si>
    <t>炙燙鱷</t>
  </si>
  <si>
    <t>骨紋巨聲鱷</t>
  </si>
  <si>
    <t>潤水鴨</t>
  </si>
  <si>
    <t>湧躍鴨</t>
  </si>
  <si>
    <t>狂歡浪舞鴨</t>
  </si>
  <si>
    <t>愛吃豚</t>
  </si>
  <si>
    <t>飄香豚</t>
  </si>
  <si>
    <t>飄香豚 雌</t>
  </si>
  <si>
    <t>團珠蛛</t>
  </si>
  <si>
    <t>操陷蛛</t>
  </si>
  <si>
    <t>豆蟋蟀</t>
  </si>
  <si>
    <t>烈腿蝗</t>
  </si>
  <si>
    <t>布撥</t>
  </si>
  <si>
    <t>布土撥</t>
  </si>
  <si>
    <t>巴布土撥</t>
  </si>
  <si>
    <t>一對鼠</t>
  </si>
  <si>
    <t>一家鼠</t>
  </si>
  <si>
    <t>一家鼠 四</t>
  </si>
  <si>
    <t>一家鼠 三</t>
  </si>
  <si>
    <t>狗仔包</t>
  </si>
  <si>
    <t>麻花犬</t>
  </si>
  <si>
    <t>迷你芙</t>
  </si>
  <si>
    <t>奧利紐</t>
  </si>
  <si>
    <t>奧利瓦</t>
  </si>
  <si>
    <t>怒鸚哥</t>
  </si>
  <si>
    <t>怒鸚哥 藍</t>
  </si>
  <si>
    <t>怒鸚哥 綠</t>
  </si>
  <si>
    <t>怒鸚哥 白</t>
  </si>
  <si>
    <t>怒鸚哥 黃</t>
  </si>
  <si>
    <t>鹽石寶</t>
  </si>
  <si>
    <t>鹽石壘</t>
  </si>
  <si>
    <t>鹽石巨靈</t>
  </si>
  <si>
    <t>炭小侍</t>
  </si>
  <si>
    <t>紅蓮鎧騎</t>
  </si>
  <si>
    <t>蒼炎刃鬼</t>
  </si>
  <si>
    <t>光蚪仔</t>
  </si>
  <si>
    <t>電肚蛙</t>
  </si>
  <si>
    <t>電海燕</t>
  </si>
  <si>
    <t>大電海燕</t>
  </si>
  <si>
    <t>偶叫獒</t>
  </si>
  <si>
    <t>獒教父</t>
  </si>
  <si>
    <t>滋汁鼴</t>
  </si>
  <si>
    <t>塗標客</t>
  </si>
  <si>
    <t>納噬草</t>
  </si>
  <si>
    <t>怖納噬草</t>
  </si>
  <si>
    <t>原野水母</t>
  </si>
  <si>
    <t>陸地水母</t>
  </si>
  <si>
    <t>毛崖蟹</t>
  </si>
  <si>
    <t>熱辣娃</t>
  </si>
  <si>
    <t>狠辣椒</t>
  </si>
  <si>
    <t>蟲滾泥</t>
  </si>
  <si>
    <t>蟲甲聖</t>
  </si>
  <si>
    <t>飄飄雛</t>
  </si>
  <si>
    <t>超能艷鴕</t>
  </si>
  <si>
    <t>小鍛匠</t>
  </si>
  <si>
    <t>巧鍛匠</t>
  </si>
  <si>
    <t>巨鍛匠</t>
  </si>
  <si>
    <t>海地鼠</t>
  </si>
  <si>
    <t>三海地鼠</t>
  </si>
  <si>
    <t>下石鳥</t>
  </si>
  <si>
    <t>波普海豚</t>
  </si>
  <si>
    <t>海豚俠</t>
  </si>
  <si>
    <t>海豚俠 全能</t>
  </si>
  <si>
    <t>海豚俠 平凡</t>
  </si>
  <si>
    <t>噗隆隆</t>
  </si>
  <si>
    <t>普隆隆姆</t>
  </si>
  <si>
    <t>摩托蜥</t>
  </si>
  <si>
    <t>拖拖蚓</t>
  </si>
  <si>
    <t>晶光芽</t>
  </si>
  <si>
    <t>晶光花</t>
  </si>
  <si>
    <t>墓仔狗</t>
  </si>
  <si>
    <t>墓揚犬</t>
  </si>
  <si>
    <t>纏紅鶴</t>
  </si>
  <si>
    <t>走鯨</t>
  </si>
  <si>
    <t>浩大鯨</t>
  </si>
  <si>
    <t>輕身鱈</t>
  </si>
  <si>
    <t>吃吼霸</t>
  </si>
  <si>
    <t>米立龍 上弓</t>
  </si>
  <si>
    <t>米立龍 下垂</t>
  </si>
  <si>
    <t>米立龍 平挺</t>
  </si>
  <si>
    <t>棄世猴</t>
  </si>
  <si>
    <t>土王</t>
  </si>
  <si>
    <t>奇麒麟</t>
  </si>
  <si>
    <t>土龍節節</t>
  </si>
  <si>
    <t>仆斬將軍</t>
  </si>
  <si>
    <t>雄偉牙</t>
  </si>
  <si>
    <t>吼叫尾</t>
  </si>
  <si>
    <t>猛惡菇</t>
  </si>
  <si>
    <t>振翼髮</t>
  </si>
  <si>
    <t>爬地翅</t>
  </si>
  <si>
    <t>沙鐵皮</t>
  </si>
  <si>
    <t>鐵轍跡</t>
  </si>
  <si>
    <t>鐵包袱</t>
  </si>
  <si>
    <t>鐵臂膀</t>
  </si>
  <si>
    <t>鐵脖頸</t>
  </si>
  <si>
    <t>鐵毒蛾</t>
  </si>
  <si>
    <t>鐵荊棘</t>
  </si>
  <si>
    <t>涼脊龍</t>
  </si>
  <si>
    <t>凍脊龍</t>
  </si>
  <si>
    <t>戟脊龍</t>
  </si>
  <si>
    <t>索財靈</t>
  </si>
  <si>
    <t>賽富豪</t>
  </si>
  <si>
    <t>古簡蝸</t>
  </si>
  <si>
    <t>古劍豹</t>
  </si>
  <si>
    <t>古鼎鹿</t>
  </si>
  <si>
    <t>古玉魚</t>
  </si>
  <si>
    <t>轟鳴月</t>
  </si>
  <si>
    <t>鐵武者</t>
  </si>
  <si>
    <t>故勒頓</t>
  </si>
  <si>
    <t>故勒頓 完全</t>
  </si>
  <si>
    <t>密勒頓</t>
  </si>
  <si>
    <t>密勒頓 完全</t>
  </si>
  <si>
    <t>波盪水</t>
  </si>
  <si>
    <t>鐵斑葉</t>
  </si>
  <si>
    <t>裹蜜蟲</t>
  </si>
  <si>
    <t>斯魔茶</t>
  </si>
  <si>
    <t>來悲粗茶</t>
  </si>
  <si>
    <t>夠讚狗</t>
  </si>
  <si>
    <t>願增猿</t>
  </si>
  <si>
    <t>吉雉雞</t>
  </si>
  <si>
    <t>厄鬼椪</t>
  </si>
  <si>
    <t>鋁鋼橋龍</t>
  </si>
  <si>
    <t>蜜集大蛇</t>
  </si>
  <si>
    <t>破空焰</t>
  </si>
  <si>
    <t>猛雷鼓</t>
  </si>
  <si>
    <t>鐵磐岩</t>
  </si>
  <si>
    <t>鐵頭殼</t>
  </si>
  <si>
    <t>太樂巴戈斯</t>
  </si>
  <si>
    <t>桃歹郎</t>
  </si>
  <si>
    <t>飛行腿郎</t>
  </si>
  <si>
    <t>飛行天螳螂</t>
  </si>
  <si>
    <t>巨翅飛行魚</t>
  </si>
  <si>
    <t>暴飛行龍</t>
  </si>
  <si>
    <t>小球飛行魚</t>
  </si>
  <si>
    <t>阿爾宙斯 飛行</t>
  </si>
  <si>
    <t>電飛行鼠</t>
  </si>
  <si>
    <t>銀伴戰獸 飛行</t>
  </si>
  <si>
    <t>藏瑪然特</t>
    <phoneticPr fontId="1" type="noConversion"/>
  </si>
  <si>
    <t>砰頭小丑</t>
    <phoneticPr fontId="1" type="noConversion"/>
  </si>
  <si>
    <t>暗影鳳王</t>
    <phoneticPr fontId="1" type="noConversion"/>
  </si>
  <si>
    <t>暗影席多藍恩</t>
    <phoneticPr fontId="1" type="noConversion"/>
  </si>
  <si>
    <t>Nega噴火龍Y</t>
    <phoneticPr fontId="1" type="noConversion"/>
  </si>
  <si>
    <t>代拉基翁</t>
    <phoneticPr fontId="1" type="noConversion"/>
  </si>
  <si>
    <t>路卡利歐</t>
    <phoneticPr fontId="1" type="noConversion"/>
  </si>
  <si>
    <t>鐵掌力士</t>
    <phoneticPr fontId="1" type="noConversion"/>
  </si>
  <si>
    <t>勾帕路翁</t>
    <phoneticPr fontId="1" type="noConversion"/>
  </si>
  <si>
    <t>爆肌蚊</t>
    <phoneticPr fontId="1" type="noConversion"/>
  </si>
  <si>
    <t>狂歡浪舞鴨</t>
    <phoneticPr fontId="1" type="noConversion"/>
  </si>
  <si>
    <t>帝王拿波</t>
    <phoneticPr fontId="1" type="noConversion"/>
  </si>
  <si>
    <t>西獅海壬</t>
    <phoneticPr fontId="1" type="noConversion"/>
  </si>
  <si>
    <t>蓋歐卡</t>
    <phoneticPr fontId="1" type="noConversion"/>
  </si>
  <si>
    <t>大力鱷</t>
    <phoneticPr fontId="1" type="noConversion"/>
  </si>
  <si>
    <t>Mega大比鳥</t>
    <phoneticPr fontId="1" type="noConversion"/>
  </si>
  <si>
    <t>銃嘴大鳥</t>
    <phoneticPr fontId="1" type="noConversion"/>
  </si>
  <si>
    <t>暴飛龍</t>
    <phoneticPr fontId="28" type="noConversion"/>
  </si>
  <si>
    <t>Mega烈空坐</t>
    <phoneticPr fontId="1" type="noConversion"/>
  </si>
  <si>
    <t>魔幻假面喵</t>
    <phoneticPr fontId="1" type="noConversion"/>
  </si>
  <si>
    <t>薩戮德</t>
    <phoneticPr fontId="1" type="noConversion"/>
  </si>
  <si>
    <t>謝米</t>
  </si>
  <si>
    <t>萬針魚</t>
    <phoneticPr fontId="1" type="noConversion"/>
  </si>
  <si>
    <t>毒骷蛙</t>
    <phoneticPr fontId="1" type="noConversion"/>
  </si>
  <si>
    <t>雷電雲-靈獸形態</t>
    <phoneticPr fontId="1" type="noConversion"/>
  </si>
  <si>
    <t>Mega電龍</t>
    <phoneticPr fontId="1" type="noConversion"/>
  </si>
  <si>
    <t>電擊魔獸</t>
    <phoneticPr fontId="1" type="noConversion"/>
  </si>
  <si>
    <t>原始蓋歐卡</t>
    <phoneticPr fontId="1" type="noConversion"/>
  </si>
  <si>
    <t>土地雲-靈獸形態</t>
    <phoneticPr fontId="1" type="noConversion"/>
  </si>
  <si>
    <t>超甲狂犀</t>
    <phoneticPr fontId="1" type="noConversion"/>
  </si>
  <si>
    <t>土地雲-化身形態</t>
    <phoneticPr fontId="1" type="noConversion"/>
  </si>
  <si>
    <t>烈咬陸鯊</t>
    <phoneticPr fontId="1" type="noConversion"/>
  </si>
  <si>
    <t>Mega巨金怪</t>
    <phoneticPr fontId="1" type="noConversion"/>
  </si>
  <si>
    <t>Mega拉帝亞斯</t>
    <phoneticPr fontId="1" type="noConversion"/>
  </si>
  <si>
    <t>戟脊龍</t>
    <phoneticPr fontId="1" type="noConversion"/>
  </si>
  <si>
    <t>闇黑酋雷姆</t>
    <phoneticPr fontId="1" type="noConversion"/>
  </si>
  <si>
    <t>Mega冰鬼護</t>
    <phoneticPr fontId="1" type="noConversion"/>
  </si>
  <si>
    <t>達摩狒狒 伽勒爾</t>
    <phoneticPr fontId="1" type="noConversion"/>
  </si>
  <si>
    <t>Mega巨鉗螳螂</t>
    <phoneticPr fontId="1" type="noConversion"/>
  </si>
  <si>
    <t>蓋諾賽克特</t>
    <phoneticPr fontId="1" type="noConversion"/>
  </si>
  <si>
    <t>火神蛾</t>
    <phoneticPr fontId="1" type="noConversion"/>
  </si>
  <si>
    <t>起源帝牙盧卡</t>
    <phoneticPr fontId="1" type="noConversion"/>
  </si>
  <si>
    <t>起源帕路奇亞</t>
    <phoneticPr fontId="1" type="noConversion"/>
  </si>
  <si>
    <t>帕路奇亞</t>
    <phoneticPr fontId="1" type="noConversion"/>
  </si>
  <si>
    <t>Nega噴火龍X</t>
    <phoneticPr fontId="1" type="noConversion"/>
  </si>
  <si>
    <t>快龍</t>
    <phoneticPr fontId="1" type="noConversion"/>
  </si>
  <si>
    <t>暴飛龍</t>
    <phoneticPr fontId="1" type="noConversion"/>
  </si>
  <si>
    <t>Mega詛咒娃娃</t>
    <phoneticPr fontId="28" type="noConversion"/>
  </si>
  <si>
    <t>水晶燈火靈</t>
    <phoneticPr fontId="1" type="noConversion"/>
  </si>
  <si>
    <t>Mega黑魯加</t>
    <phoneticPr fontId="1" type="noConversion"/>
  </si>
  <si>
    <t>Mega暴飛龍</t>
    <phoneticPr fontId="1" type="noConversion"/>
  </si>
  <si>
    <t>巨牙鯊</t>
    <phoneticPr fontId="1" type="noConversion"/>
  </si>
  <si>
    <t>伊裴爾塔爾</t>
    <phoneticPr fontId="1" type="noConversion"/>
  </si>
  <si>
    <t>Mega波士可多拉</t>
    <phoneticPr fontId="1" type="noConversion"/>
  </si>
  <si>
    <t>美錄梅塔</t>
    <phoneticPr fontId="1" type="noConversion"/>
  </si>
  <si>
    <t>布魯皇</t>
    <phoneticPr fontId="1" type="noConversion"/>
  </si>
  <si>
    <t>卡璞・蝶蝶</t>
    <phoneticPr fontId="1" type="noConversion"/>
  </si>
  <si>
    <t>卡璞・鳴鳴</t>
    <phoneticPr fontId="1" type="noConversion"/>
  </si>
  <si>
    <t>卡璞・哞哞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</si>
</sst>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&quot;月&quot;d&quot;日&quot;"/>
    <numFmt numFmtId="177" formatCode="0.0"/>
    <numFmt numFmtId="178" formatCode="0.000"/>
  </numFmts>
  <fonts count="3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Taipei Sans TC Beta"/>
      <family val="3"/>
      <charset val="136"/>
    </font>
    <font>
      <sz val="12"/>
      <color theme="1"/>
      <name val="新細明體"/>
      <family val="1"/>
      <charset val="136"/>
      <scheme val="major"/>
    </font>
    <font>
      <sz val="12"/>
      <color rgb="FFFF0000"/>
      <name val="新細明體"/>
      <family val="1"/>
      <charset val="136"/>
      <scheme val="maj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rgb="FF00B050"/>
      <name val="新細明體"/>
      <family val="1"/>
      <charset val="136"/>
      <scheme val="minor"/>
    </font>
    <font>
      <sz val="12"/>
      <color rgb="FF00B050"/>
      <name val="新細明體"/>
      <family val="1"/>
      <charset val="136"/>
      <scheme val="major"/>
    </font>
    <font>
      <sz val="12"/>
      <color rgb="FFC00000"/>
      <name val="新細明體"/>
      <family val="1"/>
      <charset val="136"/>
      <scheme val="major"/>
    </font>
    <font>
      <sz val="12"/>
      <color theme="7" tint="0.39997558519241921"/>
      <name val="新細明體"/>
      <family val="1"/>
      <charset val="136"/>
      <scheme val="major"/>
    </font>
    <font>
      <sz val="12"/>
      <color rgb="FF0070C0"/>
      <name val="新細明體"/>
      <family val="1"/>
      <charset val="136"/>
      <scheme val="minor"/>
    </font>
    <font>
      <sz val="12"/>
      <color rgb="FF0070C0"/>
      <name val="新細明體"/>
      <family val="1"/>
      <charset val="136"/>
      <scheme val="major"/>
    </font>
    <font>
      <sz val="12"/>
      <color rgb="FF7030A0"/>
      <name val="新細明體"/>
      <family val="1"/>
      <charset val="136"/>
      <scheme val="major"/>
    </font>
    <font>
      <sz val="12"/>
      <color theme="5"/>
      <name val="新細明體"/>
      <family val="1"/>
      <charset val="136"/>
      <scheme val="major"/>
    </font>
    <font>
      <sz val="12"/>
      <color rgb="FFCC9900"/>
      <name val="新細明體"/>
      <family val="1"/>
      <charset val="136"/>
      <scheme val="major"/>
    </font>
    <font>
      <sz val="12"/>
      <color theme="9" tint="0.39997558519241921"/>
      <name val="新細明體"/>
      <family val="1"/>
      <charset val="136"/>
      <scheme val="major"/>
    </font>
    <font>
      <sz val="12"/>
      <color theme="8" tint="-0.499984740745262"/>
      <name val="新細明體"/>
      <family val="1"/>
      <charset val="136"/>
      <scheme val="major"/>
    </font>
    <font>
      <sz val="12"/>
      <color theme="3" tint="9.9978637043366805E-2"/>
      <name val="新細明體"/>
      <family val="1"/>
      <charset val="136"/>
      <scheme val="major"/>
    </font>
    <font>
      <sz val="12"/>
      <color rgb="FFF4EE0C"/>
      <name val="新細明體"/>
      <family val="1"/>
      <charset val="136"/>
      <scheme val="major"/>
    </font>
    <font>
      <sz val="12"/>
      <color rgb="FFFF99FF"/>
      <name val="新細明體"/>
      <family val="1"/>
      <charset val="136"/>
      <scheme val="major"/>
    </font>
    <font>
      <sz val="12"/>
      <color rgb="FFFF6699"/>
      <name val="新細明體"/>
      <family val="1"/>
      <charset val="136"/>
      <scheme val="major"/>
    </font>
    <font>
      <sz val="12"/>
      <color rgb="FF0000FF"/>
      <name val="新細明體"/>
      <family val="1"/>
      <charset val="136"/>
      <scheme val="major"/>
    </font>
    <font>
      <sz val="12"/>
      <color rgb="FF00FFFF"/>
      <name val="新細明體"/>
      <family val="1"/>
      <charset val="136"/>
      <scheme val="major"/>
    </font>
    <font>
      <b/>
      <sz val="12"/>
      <color theme="1"/>
      <name val="Taipei Sans TC Beta"/>
      <family val="3"/>
      <charset val="136"/>
    </font>
    <font>
      <sz val="12"/>
      <name val="新細明體"/>
      <family val="1"/>
      <charset val="136"/>
      <scheme val="major"/>
    </font>
    <font>
      <u/>
      <sz val="12"/>
      <color theme="10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2"/>
      <color theme="0"/>
      <name val="Taipei Sans TC Beta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0" fontId="26" fillId="0" borderId="0" applyNumberFormat="0" applyFill="0" applyBorder="0" applyAlignment="0" applyProtection="0">
      <alignment vertical="center"/>
    </xf>
    <xf numFmtId="9" fontId="27" fillId="0" borderId="0" applyFont="0" applyFill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76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6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76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2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76" fontId="23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7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7" fontId="0" fillId="0" borderId="8" xfId="0" applyNumberFormat="1" applyBorder="1" applyAlignment="1">
      <alignment horizontal="center" vertical="center"/>
    </xf>
    <xf numFmtId="0" fontId="0" fillId="0" borderId="9" xfId="0" applyBorder="1">
      <alignment vertical="center"/>
    </xf>
    <xf numFmtId="176" fontId="0" fillId="0" borderId="0" xfId="0" applyNumberFormat="1">
      <alignment vertical="center"/>
    </xf>
    <xf numFmtId="178" fontId="0" fillId="0" borderId="0" xfId="0" applyNumberFormat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8" xfId="0" applyBorder="1">
      <alignment vertical="center"/>
    </xf>
    <xf numFmtId="1" fontId="0" fillId="0" borderId="0" xfId="0" applyNumberFormat="1" applyAlignment="1">
      <alignment horizontal="center" vertical="center"/>
    </xf>
    <xf numFmtId="176" fontId="2" fillId="0" borderId="0" xfId="0" applyNumberFormat="1" applyFont="1">
      <alignment vertical="center"/>
    </xf>
    <xf numFmtId="0" fontId="24" fillId="0" borderId="0" xfId="0" applyFont="1" applyAlignment="1">
      <alignment horizontal="center" vertical="center"/>
    </xf>
    <xf numFmtId="177" fontId="0" fillId="0" borderId="11" xfId="0" applyNumberFormat="1" applyBorder="1" applyAlignment="1">
      <alignment horizontal="center" vertical="center"/>
    </xf>
    <xf numFmtId="1" fontId="0" fillId="0" borderId="0" xfId="0" applyNumberFormat="1">
      <alignment vertical="center"/>
    </xf>
    <xf numFmtId="177" fontId="0" fillId="0" borderId="0" xfId="0" applyNumberFormat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15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0" xfId="0" applyAlignment="1">
      <alignment horizontal="right" vertical="center"/>
    </xf>
    <xf numFmtId="177" fontId="0" fillId="0" borderId="3" xfId="0" applyNumberFormat="1" applyBorder="1" applyAlignment="1">
      <alignment horizontal="center" vertical="center"/>
    </xf>
    <xf numFmtId="0" fontId="0" fillId="0" borderId="6" xfId="0" applyBorder="1" applyAlignment="1">
      <alignment horizontal="right" vertical="center"/>
    </xf>
    <xf numFmtId="0" fontId="26" fillId="0" borderId="0" xfId="1">
      <alignment vertical="center"/>
    </xf>
    <xf numFmtId="177" fontId="0" fillId="0" borderId="0" xfId="0" applyNumberFormat="1">
      <alignment vertical="center"/>
    </xf>
    <xf numFmtId="1" fontId="0" fillId="0" borderId="5" xfId="0" applyNumberFormat="1" applyBorder="1" applyAlignment="1">
      <alignment horizontal="center" vertical="center"/>
    </xf>
    <xf numFmtId="1" fontId="0" fillId="0" borderId="8" xfId="0" applyNumberFormat="1" applyBorder="1">
      <alignment vertical="center"/>
    </xf>
    <xf numFmtId="0" fontId="0" fillId="0" borderId="1" xfId="0" applyBorder="1" applyAlignment="1">
      <alignment horizontal="right" vertical="center"/>
    </xf>
    <xf numFmtId="0" fontId="25" fillId="0" borderId="0" xfId="0" applyFont="1" applyAlignment="1">
      <alignment horizontal="center" vertical="center"/>
    </xf>
    <xf numFmtId="9" fontId="0" fillId="0" borderId="8" xfId="2" applyFont="1" applyBorder="1" applyAlignment="1">
      <alignment horizontal="center" vertical="center"/>
    </xf>
    <xf numFmtId="9" fontId="0" fillId="0" borderId="5" xfId="2" applyFont="1" applyBorder="1" applyAlignment="1">
      <alignment horizontal="center" vertical="center"/>
    </xf>
    <xf numFmtId="0" fontId="0" fillId="0" borderId="10" xfId="0" applyBorder="1">
      <alignment vertical="center"/>
    </xf>
    <xf numFmtId="2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15" xfId="0" applyBorder="1" applyAlignment="1">
      <alignment horizontal="center" vertical="center"/>
    </xf>
    <xf numFmtId="177" fontId="0" fillId="0" borderId="12" xfId="0" applyNumberFormat="1" applyBorder="1" applyAlignment="1">
      <alignment horizontal="center" vertical="center"/>
    </xf>
    <xf numFmtId="177" fontId="0" fillId="0" borderId="7" xfId="0" applyNumberFormat="1" applyBorder="1" applyAlignment="1">
      <alignment horizontal="center" vertical="center"/>
    </xf>
    <xf numFmtId="178" fontId="0" fillId="0" borderId="9" xfId="0" applyNumberFormat="1" applyBorder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2" fontId="0" fillId="0" borderId="7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9" fillId="4" borderId="8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9" fillId="4" borderId="10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3">
    <cellStyle name="一般" xfId="0" builtinId="0"/>
    <cellStyle name="百分比" xfId="2" builtinId="5"/>
    <cellStyle name="超連結" xfId="1" builtinId="8"/>
  </cellStyles>
  <dxfs count="0"/>
  <tableStyles count="0" defaultTableStyle="TableStyleMedium2" defaultPivotStyle="PivotStyleLight16"/>
  <colors>
    <mruColors>
      <color rgb="FFFF5621"/>
      <color rgb="FFCC3300"/>
      <color rgb="FF00FFFF"/>
      <color rgb="FF0000FF"/>
      <color rgb="FFFF99FF"/>
      <color rgb="FFFF6699"/>
      <color rgb="FFF4EE0C"/>
      <color rgb="FFFFFF00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pvpoketw.com/battle/" TargetMode="External"/><Relationship Id="rId1" Type="http://schemas.openxmlformats.org/officeDocument/2006/relationships/hyperlink" Target="https://pokemon.gameinfo.io/zh-tw/tools/cp-calculator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1F4A-234C-4315-9CF6-A669DCF8C957}">
  <sheetPr codeName="工作表1"/>
  <dimension ref="A1:AR125"/>
  <sheetViews>
    <sheetView zoomScale="70" zoomScaleNormal="70" workbookViewId="0">
      <pane ySplit="2" topLeftCell="A3" activePane="bottomLeft" state="frozen"/>
      <selection pane="bottomLeft" activeCell="S11" sqref="S11"/>
    </sheetView>
  </sheetViews>
  <sheetFormatPr defaultRowHeight="17"/>
  <cols>
    <col min="1" max="1" width="14.08984375" style="74" bestFit="1" customWidth="1"/>
    <col min="2" max="2" width="19.1796875" style="3" customWidth="1"/>
    <col min="3" max="3" width="14.08984375" style="74" bestFit="1" customWidth="1"/>
    <col min="4" max="4" width="19.1796875" style="3" bestFit="1" customWidth="1"/>
    <col min="5" max="5" width="14.08984375" style="74" bestFit="1" customWidth="1"/>
    <col min="6" max="6" width="19.1796875" style="3" bestFit="1" customWidth="1"/>
    <col min="7" max="7" width="14.08984375" style="74" bestFit="1" customWidth="1"/>
    <col min="8" max="8" width="19.1796875" style="3" bestFit="1" customWidth="1"/>
    <col min="9" max="9" width="19.1796875" customWidth="1"/>
    <col min="10" max="13" width="15.1796875" customWidth="1"/>
    <col min="14" max="24" width="15.1796875" style="3" customWidth="1"/>
    <col min="25" max="28" width="15.1796875" customWidth="1"/>
    <col min="30" max="30" width="15.453125" bestFit="1" customWidth="1"/>
    <col min="36" max="36" width="10.1796875" bestFit="1" customWidth="1"/>
    <col min="37" max="37" width="14.08984375" style="62" bestFit="1" customWidth="1"/>
  </cols>
  <sheetData>
    <row r="1" spans="1:44">
      <c r="A1" s="112" t="s">
        <v>100</v>
      </c>
      <c r="B1" s="112"/>
      <c r="C1" s="112" t="s">
        <v>266</v>
      </c>
      <c r="D1" s="112"/>
      <c r="E1" s="112" t="s">
        <v>172</v>
      </c>
      <c r="F1" s="112"/>
      <c r="G1" s="112" t="s">
        <v>83</v>
      </c>
      <c r="H1" s="112"/>
      <c r="I1" s="3"/>
      <c r="J1" s="62"/>
      <c r="K1" s="85"/>
      <c r="L1" s="48" t="s">
        <v>166</v>
      </c>
      <c r="M1" s="48" t="s">
        <v>94</v>
      </c>
      <c r="AL1" s="3"/>
      <c r="AN1" s="3"/>
      <c r="AP1" s="3"/>
      <c r="AR1" s="3"/>
    </row>
    <row r="2" spans="1:44">
      <c r="A2" s="72" t="s">
        <v>120</v>
      </c>
      <c r="B2" s="69" t="s">
        <v>122</v>
      </c>
      <c r="C2" s="72" t="s">
        <v>120</v>
      </c>
      <c r="D2" s="69" t="s">
        <v>122</v>
      </c>
      <c r="E2" s="72" t="s">
        <v>120</v>
      </c>
      <c r="F2" s="69" t="s">
        <v>122</v>
      </c>
      <c r="G2" s="72" t="s">
        <v>120</v>
      </c>
      <c r="H2" s="69" t="s">
        <v>122</v>
      </c>
      <c r="I2" s="3"/>
      <c r="J2" s="48" t="s">
        <v>120</v>
      </c>
      <c r="K2" s="62" t="s">
        <v>40</v>
      </c>
      <c r="L2" s="45" t="s">
        <v>132</v>
      </c>
      <c r="M2" s="45" t="s">
        <v>2</v>
      </c>
      <c r="N2" s="70" t="s">
        <v>9</v>
      </c>
      <c r="O2" s="53" t="s">
        <v>10</v>
      </c>
      <c r="P2" s="40"/>
      <c r="Y2" s="62" t="s">
        <v>120</v>
      </c>
      <c r="Z2" s="48" t="s">
        <v>114</v>
      </c>
      <c r="AA2" s="48" t="s">
        <v>115</v>
      </c>
      <c r="AB2" s="48" t="s">
        <v>121</v>
      </c>
      <c r="AD2" s="3" t="s">
        <v>120</v>
      </c>
      <c r="AE2" t="s">
        <v>40</v>
      </c>
      <c r="AF2" s="3" t="s">
        <v>132</v>
      </c>
      <c r="AG2" s="3" t="s">
        <v>2</v>
      </c>
      <c r="AH2" s="82" t="s">
        <v>9</v>
      </c>
      <c r="AI2" s="3" t="s">
        <v>10</v>
      </c>
      <c r="AK2" s="62" t="s">
        <v>120</v>
      </c>
      <c r="AL2" s="54" t="s">
        <v>122</v>
      </c>
      <c r="AM2" s="62" t="s">
        <v>120</v>
      </c>
      <c r="AN2" s="48" t="s">
        <v>122</v>
      </c>
      <c r="AO2" s="62" t="s">
        <v>120</v>
      </c>
      <c r="AP2" s="48" t="s">
        <v>122</v>
      </c>
      <c r="AQ2" s="62" t="s">
        <v>120</v>
      </c>
      <c r="AR2" s="48" t="s">
        <v>122</v>
      </c>
    </row>
    <row r="3" spans="1:44">
      <c r="A3" s="73" t="str" cm="1">
        <f t="array" ref="A3:B70">_xlfn.SORTBY(AK3:AL70, AL3:AL70, -1)</f>
        <v>多刺菊石獸</v>
      </c>
      <c r="B3" s="75">
        <v>65.167360000000002</v>
      </c>
      <c r="C3" s="73" t="str" cm="1">
        <f t="array" ref="C3:D70">_xlfn.SORTBY(AM3:AN70, AN3:AN70, -1)</f>
        <v>幸福蛋</v>
      </c>
      <c r="D3" s="75">
        <v>157.76470588235293</v>
      </c>
      <c r="E3" s="73" t="str" cm="1">
        <f t="array" ref="E3:F70">_xlfn.SORTBY(AO3:AP70, AP3:AP70, -1)</f>
        <v>幸福蛋</v>
      </c>
      <c r="F3" s="75">
        <v>61.686</v>
      </c>
      <c r="G3" s="73" t="str" cm="1">
        <f t="array" ref="G3:H70">_xlfn.SORTBY(AQ3:AR70, AR3:AR70, -1)</f>
        <v>藏瑪然特</v>
      </c>
      <c r="H3" s="75">
        <v>68.912000000000006</v>
      </c>
      <c r="I3" s="68"/>
      <c r="J3" s="48" t="str" cm="1">
        <f t="array" ref="J3:O125">_xlfn.SORTBY(AD3:AI125, AI3:AI125, -1)</f>
        <v>閃電鳥</v>
      </c>
      <c r="K3" s="48" t="str">
        <v>飛行</v>
      </c>
      <c r="L3" s="48" t="str">
        <v>Y</v>
      </c>
      <c r="M3" s="48">
        <v>203</v>
      </c>
      <c r="N3" s="48" t="str">
        <v>D</v>
      </c>
      <c r="O3" s="71">
        <v>218265.60000000003</v>
      </c>
      <c r="P3" s="84">
        <f>O3/$O$3</f>
        <v>1</v>
      </c>
      <c r="Q3" s="63"/>
      <c r="R3" s="63"/>
      <c r="S3" s="63"/>
      <c r="T3" s="63"/>
      <c r="U3" s="63"/>
      <c r="V3" s="63"/>
      <c r="W3" s="63"/>
      <c r="X3" s="63"/>
      <c r="Y3" s="48" t="s">
        <v>63</v>
      </c>
      <c r="Z3" s="48" t="s">
        <v>74</v>
      </c>
      <c r="AA3" s="48" t="s">
        <v>119</v>
      </c>
      <c r="AB3" s="51">
        <f>數據!P2</f>
        <v>61.686</v>
      </c>
      <c r="AD3" s="3" t="s">
        <v>91</v>
      </c>
      <c r="AE3" s="3" t="s">
        <v>35</v>
      </c>
      <c r="AF3" s="3" t="s">
        <v>130</v>
      </c>
      <c r="AG3" s="3">
        <f>_xlfn.XLOOKUP(AD3, 數據!B$2:B$50, 數據!M$2:M$50)</f>
        <v>200</v>
      </c>
      <c r="AH3" s="3" t="s">
        <v>5</v>
      </c>
      <c r="AI3" s="63">
        <f>AG3*IF(AH3="G", 450, IF(AH3="D", 350, 0)) * IF(AF3="Y", 1.2, 1)*(INDEX(屬性克制表!$B$2:$T$20, MATCH(AE3, 屬性克制表!$A$2:$A$20, 0), MATCH($L$1, 屬性克制表!$B$1:$T$1, 0)) * INDEX(屬性克制表!$B$2:$T$20, MATCH(AE3, 屬性克制表!$A$2:$A$20, 0), MATCH($M$1, 屬性克制表!$B$1:$T$1, 0)))</f>
        <v>67500</v>
      </c>
      <c r="AK3" s="48" t="s">
        <v>63</v>
      </c>
      <c r="AL3" s="66">
        <f>AB3/(INDEX(屬性克制表!$B$2:$T$20, MATCH($A$1, 屬性克制表!$A$2:$A$20, 0), MATCH(Z3, 屬性克制表!$B$1:$T$1, 0)) * INDEX(屬性克制表!$B$2:$T$20, MATCH($A$1, 屬性克制表!$A$2:$A$20, 0), MATCH(AA3, 屬性克制表!$B$1:$T$1, 0)))</f>
        <v>61.686</v>
      </c>
      <c r="AM3" s="48" t="s">
        <v>63</v>
      </c>
      <c r="AN3" s="56">
        <f>AB3/(INDEX(屬性克制表!$B$2:$T$20, MATCH($C$1, 屬性克制表!$A$2:$A$20, 0), MATCH(Z3, 屬性克制表!$B$1:$T$1, 0)) * INDEX(屬性克制表!$B$2:$T$20, MATCH($C$1, 屬性克制表!$A$2:$A$20, 0), MATCH(AA3, 屬性克制表!$B$1:$T$1, 0)))</f>
        <v>157.76470588235293</v>
      </c>
      <c r="AO3" s="48" t="s">
        <v>63</v>
      </c>
      <c r="AP3" s="56">
        <f>AB3/(INDEX(屬性克制表!$B$2:$T$20, MATCH($E$1, 屬性克制表!$A$2:$A$20, 0), MATCH(Z3, 屬性克制表!$B$1:$T$1, 0)) * INDEX(屬性克制表!$B$2:$T$20, MATCH($E$1, 屬性克制表!$A$2:$A$20, 0), MATCH(AA3, 屬性克制表!$B$1:$T$1, 0)))</f>
        <v>61.686</v>
      </c>
      <c r="AQ3" s="48" t="s">
        <v>63</v>
      </c>
      <c r="AR3" s="56">
        <f>AB3/(INDEX(屬性克制表!$B$2:$T$20, MATCH($G$1, 屬性克制表!$A$2:$A$20, 0), MATCH(Z3, 屬性克制表!$B$1:$T$1, 0)) * INDEX(屬性克制表!$B$2:$T$20, MATCH($G$1, 屬性克制表!$A$2:$A$20, 0), MATCH(AA3, 屬性克制表!$B$1:$T$1, 0)))</f>
        <v>61.686</v>
      </c>
    </row>
    <row r="4" spans="1:44">
      <c r="A4" s="73" t="str">
        <v>幸福蛋</v>
      </c>
      <c r="B4" s="75">
        <v>61.686</v>
      </c>
      <c r="C4" s="73" t="str">
        <v>卡比獸</v>
      </c>
      <c r="D4" s="75">
        <v>86.363171355498721</v>
      </c>
      <c r="E4" s="73" t="str">
        <v>無極汰那</v>
      </c>
      <c r="F4" s="75">
        <v>57.897599999999997</v>
      </c>
      <c r="G4" s="73" t="str">
        <v>幸福蛋</v>
      </c>
      <c r="H4" s="75">
        <v>61.686</v>
      </c>
      <c r="I4" s="68"/>
      <c r="J4" s="48" t="str">
        <v>火焰鳥</v>
      </c>
      <c r="K4" s="48" t="str">
        <v>飛行</v>
      </c>
      <c r="L4" s="48" t="str">
        <v>Y</v>
      </c>
      <c r="M4" s="48">
        <v>200</v>
      </c>
      <c r="N4" s="48" t="str">
        <v>D</v>
      </c>
      <c r="O4" s="71">
        <v>215040.00000000003</v>
      </c>
      <c r="P4" s="83">
        <f>O4/$O$3</f>
        <v>0.98522167487684731</v>
      </c>
      <c r="Q4" s="63"/>
      <c r="R4" s="63"/>
      <c r="S4" s="63"/>
      <c r="T4" s="63"/>
      <c r="U4" s="63"/>
      <c r="V4" s="63"/>
      <c r="W4" s="63"/>
      <c r="Y4" s="48" t="s">
        <v>88</v>
      </c>
      <c r="Z4" s="48" t="s">
        <v>71</v>
      </c>
      <c r="AA4" s="48" t="s">
        <v>70</v>
      </c>
      <c r="AB4" s="51">
        <f>數據!P3</f>
        <v>43.07</v>
      </c>
      <c r="AC4" s="78">
        <f>數據!P2</f>
        <v>61.686</v>
      </c>
      <c r="AD4" s="3" t="s">
        <v>62</v>
      </c>
      <c r="AE4" s="3" t="s">
        <v>70</v>
      </c>
      <c r="AF4" s="3" t="s">
        <v>130</v>
      </c>
      <c r="AG4" s="3">
        <f>_xlfn.XLOOKUP(AD4, 數據!B$2:B$50, 數據!M$2:M$50)</f>
        <v>201</v>
      </c>
      <c r="AH4" s="3" t="s">
        <v>5</v>
      </c>
      <c r="AI4" s="63">
        <f>AG4*IF(AH4="G", 450, IF(AH4="D", 350, 0)) * IF(AF4="Y", 1.2, 1)*(INDEX(屬性克制表!$B$2:$T$20, MATCH(AE4, 屬性克制表!$A$2:$A$20, 0), MATCH($L$1, 屬性克制表!$B$1:$T$1, 0)) * INDEX(屬性克制表!$B$2:$T$20, MATCH(AE4, 屬性克制表!$A$2:$A$20, 0), MATCH($M$1, 屬性克制表!$B$1:$T$1, 0)))</f>
        <v>108540</v>
      </c>
      <c r="AK4" s="48" t="s">
        <v>88</v>
      </c>
      <c r="AL4" s="66">
        <f>AB4/(INDEX(屬性克制表!$B$2:$T$20, MATCH($A$1, 屬性克制表!$A$2:$A$20, 0), MATCH(Z4, 屬性克制表!$B$1:$T$1, 0)) * INDEX(屬性克制表!$B$2:$T$20, MATCH($A$1, 屬性克制表!$A$2:$A$20, 0), MATCH(AA4, 屬性克制表!$B$1:$T$1, 0)))</f>
        <v>26.918749999999999</v>
      </c>
      <c r="AM4" s="48" t="s">
        <v>88</v>
      </c>
      <c r="AN4" s="56">
        <f>AB4/(INDEX(屬性克制表!$B$2:$T$20, MATCH($C$1, 屬性克制表!$A$2:$A$20, 0), MATCH(Z4, 屬性克制表!$B$1:$T$1, 0)) * INDEX(屬性克制表!$B$2:$T$20, MATCH($C$1, 屬性克制表!$A$2:$A$20, 0), MATCH(AA4, 屬性克制表!$B$1:$T$1, 0)))</f>
        <v>43.07</v>
      </c>
      <c r="AO4" s="48" t="s">
        <v>88</v>
      </c>
      <c r="AP4" s="56">
        <f>AB4/(INDEX(屬性克制表!$B$2:$T$20, MATCH($E$1, 屬性克制表!$A$2:$A$20, 0), MATCH(Z4, 屬性克制表!$B$1:$T$1, 0)) * INDEX(屬性克制表!$B$2:$T$20, MATCH($E$1, 屬性克制表!$A$2:$A$20, 0), MATCH(AA4, 屬性克制表!$B$1:$T$1, 0)))</f>
        <v>43.07</v>
      </c>
      <c r="AQ4" s="48" t="s">
        <v>88</v>
      </c>
      <c r="AR4" s="56">
        <f>AB4/(INDEX(屬性克制表!$B$2:$T$20, MATCH($G$1, 屬性克制表!$A$2:$A$20, 0), MATCH(Z4, 屬性克制表!$B$1:$T$1, 0)) * INDEX(屬性克制表!$B$2:$T$20, MATCH($G$1, 屬性克制表!$A$2:$A$20, 0), MATCH(AA4, 屬性克制表!$B$1:$T$1, 0)))</f>
        <v>68.912000000000006</v>
      </c>
    </row>
    <row r="5" spans="1:44">
      <c r="A5" s="73" t="str">
        <v>無極汰那</v>
      </c>
      <c r="B5" s="75">
        <v>57.897599999999997</v>
      </c>
      <c r="C5" s="73" t="str">
        <v>藏飽栗鼠</v>
      </c>
      <c r="D5" s="75">
        <v>74.923273657289002</v>
      </c>
      <c r="E5" s="73" t="str">
        <v>水君</v>
      </c>
      <c r="F5" s="75">
        <v>55.327999999999996</v>
      </c>
      <c r="G5" s="73" t="str">
        <v>蒼響</v>
      </c>
      <c r="H5" s="75">
        <v>58.958399999999997</v>
      </c>
      <c r="I5" s="68"/>
      <c r="J5" s="48" t="str">
        <v>高傲雉雞</v>
      </c>
      <c r="K5" s="48" t="str">
        <v>飛行</v>
      </c>
      <c r="L5" s="48" t="str">
        <v>Y</v>
      </c>
      <c r="M5" s="48">
        <v>188</v>
      </c>
      <c r="N5" s="48" t="str">
        <v>D</v>
      </c>
      <c r="O5" s="71">
        <v>202137.60000000003</v>
      </c>
      <c r="P5" s="83">
        <f t="shared" ref="P5:P68" si="0">O5/$O$3</f>
        <v>0.92610837438423643</v>
      </c>
      <c r="Q5" s="63"/>
      <c r="R5" s="63"/>
      <c r="S5" s="63"/>
      <c r="T5" s="63"/>
      <c r="U5" s="63"/>
      <c r="V5" s="63"/>
      <c r="W5" s="63"/>
      <c r="Y5" s="48" t="s">
        <v>85</v>
      </c>
      <c r="Z5" s="48" t="s">
        <v>74</v>
      </c>
      <c r="AA5" s="48" t="s">
        <v>118</v>
      </c>
      <c r="AB5" s="51">
        <f>數據!P4</f>
        <v>33.768000000000001</v>
      </c>
      <c r="AC5" s="78">
        <f>數據!P3</f>
        <v>43.07</v>
      </c>
      <c r="AD5" s="3" t="s">
        <v>92</v>
      </c>
      <c r="AE5" s="4" t="s">
        <v>77</v>
      </c>
      <c r="AF5" s="4" t="s">
        <v>130</v>
      </c>
      <c r="AG5" s="3">
        <f>_xlfn.XLOOKUP(AD5, 數據!B$2:B$50, 數據!M$2:M$50)</f>
        <v>188</v>
      </c>
      <c r="AH5" s="3" t="s">
        <v>5</v>
      </c>
      <c r="AI5" s="63">
        <f>AG5*IF(AH5="G", 450, IF(AH5="D", 350, 0)) * IF(AF5="Y", 1.2, 1)*(INDEX(屬性克制表!$B$2:$T$20, MATCH(AE5, 屬性克制表!$A$2:$A$20, 0), MATCH($L$1, 屬性克制表!$B$1:$T$1, 0)) * INDEX(屬性克制表!$B$2:$T$20, MATCH(AE5, 屬性克制表!$A$2:$A$20, 0), MATCH($M$1, 屬性克制表!$B$1:$T$1, 0)))</f>
        <v>63450</v>
      </c>
      <c r="AK5" s="48" t="s">
        <v>85</v>
      </c>
      <c r="AL5" s="66">
        <f>AB5/(INDEX(屬性克制表!$B$2:$T$20, MATCH($A$1, 屬性克制表!$A$2:$A$20, 0), MATCH(Z5, 屬性克制表!$B$1:$T$1, 0)) * INDEX(屬性克制表!$B$2:$T$20, MATCH($A$1, 屬性克制表!$A$2:$A$20, 0), MATCH(AA5, 屬性克制表!$B$1:$T$1, 0)))</f>
        <v>33.768000000000001</v>
      </c>
      <c r="AM5" s="48" t="s">
        <v>85</v>
      </c>
      <c r="AN5" s="56">
        <f>AB5/(INDEX(屬性克制表!$B$2:$T$20, MATCH($C$1, 屬性克制表!$A$2:$A$20, 0), MATCH(Z5, 屬性克制表!$B$1:$T$1, 0)) * INDEX(屬性克制表!$B$2:$T$20, MATCH($C$1, 屬性克制表!$A$2:$A$20, 0), MATCH(AA5, 屬性克制表!$B$1:$T$1, 0)))</f>
        <v>86.363171355498721</v>
      </c>
      <c r="AO5" s="48" t="s">
        <v>85</v>
      </c>
      <c r="AP5" s="56">
        <f>AB5/(INDEX(屬性克制表!$B$2:$T$20, MATCH($E$1, 屬性克制表!$A$2:$A$20, 0), MATCH(Z5, 屬性克制表!$B$1:$T$1, 0)) * INDEX(屬性克制表!$B$2:$T$20, MATCH($E$1, 屬性克制表!$A$2:$A$20, 0), MATCH(AA5, 屬性克制表!$B$1:$T$1, 0)))</f>
        <v>33.768000000000001</v>
      </c>
      <c r="AQ5" s="48" t="s">
        <v>85</v>
      </c>
      <c r="AR5" s="56">
        <f>AB5/(INDEX(屬性克制表!$B$2:$T$20, MATCH($G$1, 屬性克制表!$A$2:$A$20, 0), MATCH(Z5, 屬性克制表!$B$1:$T$1, 0)) * INDEX(屬性克制表!$B$2:$T$20, MATCH($G$1, 屬性克制表!$A$2:$A$20, 0), MATCH(AA5, 屬性克制表!$B$1:$T$1, 0)))</f>
        <v>33.768000000000001</v>
      </c>
    </row>
    <row r="6" spans="1:44">
      <c r="A6" s="73" t="str">
        <v>水君</v>
      </c>
      <c r="B6" s="75">
        <v>55.327999999999996</v>
      </c>
      <c r="C6" s="73" t="str">
        <v>毛毛角羊</v>
      </c>
      <c r="D6" s="75">
        <v>63.63938618925831</v>
      </c>
      <c r="E6" s="73" t="str">
        <v>拉普拉斯</v>
      </c>
      <c r="F6" s="75">
        <v>54.096000000000004</v>
      </c>
      <c r="G6" s="73" t="str">
        <v>洛奇亞</v>
      </c>
      <c r="H6" s="75">
        <v>50.628999999999998</v>
      </c>
      <c r="I6" s="68"/>
      <c r="J6" s="48" t="str">
        <v>噴火龍</v>
      </c>
      <c r="K6" s="48" t="str">
        <v>飛行</v>
      </c>
      <c r="L6" s="48" t="str">
        <v>Y</v>
      </c>
      <c r="M6" s="48">
        <v>187</v>
      </c>
      <c r="N6" s="48" t="str">
        <v>D</v>
      </c>
      <c r="O6" s="71">
        <v>201062.40000000005</v>
      </c>
      <c r="P6" s="83">
        <f t="shared" si="0"/>
        <v>0.92118226600985231</v>
      </c>
      <c r="Q6" s="63"/>
      <c r="R6" s="63"/>
      <c r="S6" s="63"/>
      <c r="T6" s="63"/>
      <c r="U6" s="63"/>
      <c r="V6" s="63"/>
      <c r="W6" s="63"/>
      <c r="Y6" s="48" t="s">
        <v>23</v>
      </c>
      <c r="Z6" s="48" t="s">
        <v>36</v>
      </c>
      <c r="AA6" s="48" t="s">
        <v>118</v>
      </c>
      <c r="AB6" s="51">
        <f>數據!P5</f>
        <v>34.58</v>
      </c>
      <c r="AC6" s="78">
        <f>數據!P4</f>
        <v>33.768000000000001</v>
      </c>
      <c r="AD6" s="3" t="s">
        <v>33</v>
      </c>
      <c r="AE6" s="3" t="s">
        <v>35</v>
      </c>
      <c r="AF6" s="3" t="s">
        <v>130</v>
      </c>
      <c r="AG6" s="3">
        <f>_xlfn.XLOOKUP(AD6, 數據!B$2:B$50, 數據!M$2:M$50)</f>
        <v>159</v>
      </c>
      <c r="AH6" s="3" t="s">
        <v>5</v>
      </c>
      <c r="AI6" s="63">
        <f>AG6*IF(AH6="G", 450, IF(AH6="D", 350, 0)) * IF(AF6="Y", 1.2, 1)*(INDEX(屬性克制表!$B$2:$T$20, MATCH(AE6, 屬性克制表!$A$2:$A$20, 0), MATCH($L$1, 屬性克制表!$B$1:$T$1, 0)) * INDEX(屬性克制表!$B$2:$T$20, MATCH(AE6, 屬性克制表!$A$2:$A$20, 0), MATCH($M$1, 屬性克制表!$B$1:$T$1, 0)))</f>
        <v>53662.5</v>
      </c>
      <c r="AK6" s="48" t="s">
        <v>23</v>
      </c>
      <c r="AL6" s="66">
        <f>AB6/(INDEX(屬性克制表!$B$2:$T$20, MATCH($A$1, 屬性克制表!$A$2:$A$20, 0), MATCH(Z6, 屬性克制表!$B$1:$T$1, 0)) * INDEX(屬性克制表!$B$2:$T$20, MATCH($A$1, 屬性克制表!$A$2:$A$20, 0), MATCH(AA6, 屬性克制表!$B$1:$T$1, 0)))</f>
        <v>55.327999999999996</v>
      </c>
      <c r="AM6" s="48" t="s">
        <v>23</v>
      </c>
      <c r="AN6" s="56">
        <f>AB6/(INDEX(屬性克制表!$B$2:$T$20, MATCH($C$1, 屬性克制表!$A$2:$A$20, 0), MATCH(Z6, 屬性克制表!$B$1:$T$1, 0)) * INDEX(屬性克制表!$B$2:$T$20, MATCH($C$1, 屬性克制表!$A$2:$A$20, 0), MATCH(AA6, 屬性克制表!$B$1:$T$1, 0)))</f>
        <v>34.58</v>
      </c>
      <c r="AO6" s="48" t="s">
        <v>23</v>
      </c>
      <c r="AP6" s="56">
        <f>AB6/(INDEX(屬性克制表!$B$2:$T$20, MATCH($E$1, 屬性克制表!$A$2:$A$20, 0), MATCH(Z6, 屬性克制表!$B$1:$T$1, 0)) * INDEX(屬性克制表!$B$2:$T$20, MATCH($E$1, 屬性克制表!$A$2:$A$20, 0), MATCH(AA6, 屬性克制表!$B$1:$T$1, 0)))</f>
        <v>55.327999999999996</v>
      </c>
      <c r="AQ6" s="48" t="s">
        <v>23</v>
      </c>
      <c r="AR6" s="56">
        <f>AB6/(INDEX(屬性克制表!$B$2:$T$20, MATCH($G$1, 屬性克制表!$A$2:$A$20, 0), MATCH(Z6, 屬性克制表!$B$1:$T$1, 0)) * INDEX(屬性克制表!$B$2:$T$20, MATCH($G$1, 屬性克制表!$A$2:$A$20, 0), MATCH(AA6, 屬性克制表!$B$1:$T$1, 0)))</f>
        <v>34.58</v>
      </c>
    </row>
    <row r="7" spans="1:44">
      <c r="A7" s="73" t="str">
        <v>鐮刀盔</v>
      </c>
      <c r="B7" s="75">
        <v>54.200320000000005</v>
      </c>
      <c r="C7" s="73" t="str">
        <v>月亮伊布</v>
      </c>
      <c r="D7" s="75">
        <v>58.822400000000002</v>
      </c>
      <c r="E7" s="73" t="str">
        <v>水伊布</v>
      </c>
      <c r="F7" s="75">
        <v>51.152000000000001</v>
      </c>
      <c r="G7" s="73" t="str">
        <v>鋼鎧鴉</v>
      </c>
      <c r="H7" s="75">
        <v>50.160000000000004</v>
      </c>
      <c r="I7" s="68"/>
      <c r="J7" s="48" t="str">
        <v>閃焰王牌</v>
      </c>
      <c r="K7" s="48" t="str">
        <v>火</v>
      </c>
      <c r="L7" s="48" t="str">
        <v>Y</v>
      </c>
      <c r="M7" s="48">
        <v>205</v>
      </c>
      <c r="N7" s="48" t="str">
        <v>G</v>
      </c>
      <c r="O7" s="71">
        <v>177120</v>
      </c>
      <c r="P7" s="83">
        <f t="shared" si="0"/>
        <v>0.81148838845883164</v>
      </c>
      <c r="Q7" s="63"/>
      <c r="R7" s="63"/>
      <c r="S7" s="63"/>
      <c r="T7" s="63"/>
      <c r="U7" s="63"/>
      <c r="V7" s="63"/>
      <c r="W7" s="63"/>
      <c r="Y7" s="48" t="s">
        <v>133</v>
      </c>
      <c r="Z7" s="48" t="s">
        <v>45</v>
      </c>
      <c r="AA7" s="48" t="s">
        <v>80</v>
      </c>
      <c r="AB7" s="51">
        <f>數據!P6</f>
        <v>36.186</v>
      </c>
      <c r="AC7" s="78">
        <f>數據!P5</f>
        <v>34.58</v>
      </c>
      <c r="AD7" s="3" t="s">
        <v>18</v>
      </c>
      <c r="AE7" s="3" t="s">
        <v>70</v>
      </c>
      <c r="AF7" s="3" t="s">
        <v>130</v>
      </c>
      <c r="AG7" s="3">
        <f>_xlfn.XLOOKUP(AD7, 數據!B$2:B$50, 數據!M$2:M$50)</f>
        <v>210</v>
      </c>
      <c r="AH7" s="3" t="s">
        <v>6</v>
      </c>
      <c r="AI7" s="63">
        <f>AG7*IF(AH7="G", 450, IF(AH7="D", 350, 0)) * IF(AF7="Y", 1.2, 1)*(INDEX(屬性克制表!$B$2:$T$20, MATCH(AE7, 屬性克制表!$A$2:$A$20, 0), MATCH($L$1, 屬性克制表!$B$1:$T$1, 0)) * INDEX(屬性克制表!$B$2:$T$20, MATCH(AE7, 屬性克制表!$A$2:$A$20, 0), MATCH($M$1, 屬性克制表!$B$1:$T$1, 0)))</f>
        <v>88200</v>
      </c>
      <c r="AK7" s="48" t="s">
        <v>133</v>
      </c>
      <c r="AL7" s="66">
        <f>AB7/(INDEX(屬性克制表!$B$2:$T$20, MATCH($A$1, 屬性克制表!$A$2:$A$20, 0), MATCH(Z7, 屬性克制表!$B$1:$T$1, 0)) * INDEX(屬性克制表!$B$2:$T$20, MATCH($A$1, 屬性克制表!$A$2:$A$20, 0), MATCH(AA7, 屬性克制表!$B$1:$T$1, 0)))</f>
        <v>57.897599999999997</v>
      </c>
      <c r="AM7" s="48" t="s">
        <v>133</v>
      </c>
      <c r="AN7" s="56">
        <f>AB7/(INDEX(屬性克制表!$B$2:$T$20, MATCH($C$1, 屬性克制表!$A$2:$A$20, 0), MATCH(Z7, 屬性克制表!$B$1:$T$1, 0)) * INDEX(屬性克制表!$B$2:$T$20, MATCH($C$1, 屬性克制表!$A$2:$A$20, 0), MATCH(AA7, 屬性克制表!$B$1:$T$1, 0)))</f>
        <v>36.186</v>
      </c>
      <c r="AO7" s="48" t="s">
        <v>133</v>
      </c>
      <c r="AP7" s="56">
        <f>AB7/(INDEX(屬性克制表!$B$2:$T$20, MATCH($E$1, 屬性克制表!$A$2:$A$20, 0), MATCH(Z7, 屬性克制表!$B$1:$T$1, 0)) * INDEX(屬性克制表!$B$2:$T$20, MATCH($E$1, 屬性克制表!$A$2:$A$20, 0), MATCH(AA7, 屬性克制表!$B$1:$T$1, 0)))</f>
        <v>57.897599999999997</v>
      </c>
      <c r="AQ7" s="48" t="s">
        <v>133</v>
      </c>
      <c r="AR7" s="56">
        <f>AB7/(INDEX(屬性克制表!$B$2:$T$20, MATCH($G$1, 屬性克制表!$A$2:$A$20, 0), MATCH(Z7, 屬性克制表!$B$1:$T$1, 0)) * INDEX(屬性克制表!$B$2:$T$20, MATCH($G$1, 屬性克制表!$A$2:$A$20, 0), MATCH(AA7, 屬性克制表!$B$1:$T$1, 0)))</f>
        <v>36.186</v>
      </c>
    </row>
    <row r="8" spans="1:44">
      <c r="A8" s="73" t="str">
        <v>水伊布</v>
      </c>
      <c r="B8" s="75">
        <v>51.152000000000001</v>
      </c>
      <c r="C8" s="73" t="str">
        <v>老翁龍</v>
      </c>
      <c r="D8" s="75">
        <v>56.976982097186692</v>
      </c>
      <c r="E8" s="73" t="str">
        <v>洛奇亞</v>
      </c>
      <c r="F8" s="75">
        <v>50.628999999999998</v>
      </c>
      <c r="G8" s="73" t="str">
        <v>巨金怪</v>
      </c>
      <c r="H8" s="75">
        <v>48.686399999999999</v>
      </c>
      <c r="I8" s="68"/>
      <c r="J8" s="48" t="str">
        <v>噴火龍</v>
      </c>
      <c r="K8" s="48" t="str">
        <v>火</v>
      </c>
      <c r="L8" s="48" t="str">
        <v>Y</v>
      </c>
      <c r="M8" s="48">
        <v>187</v>
      </c>
      <c r="N8" s="48" t="str">
        <v>G</v>
      </c>
      <c r="O8" s="71">
        <v>161568</v>
      </c>
      <c r="P8" s="83">
        <f t="shared" si="0"/>
        <v>0.74023574947220261</v>
      </c>
      <c r="Q8" s="63"/>
      <c r="R8" s="63"/>
      <c r="S8" s="63"/>
      <c r="T8" s="63"/>
      <c r="U8" s="63"/>
      <c r="V8" s="63"/>
      <c r="W8" s="63"/>
      <c r="Y8" s="48" t="s">
        <v>55</v>
      </c>
      <c r="Z8" s="48" t="s">
        <v>98</v>
      </c>
      <c r="AA8" s="48" t="s">
        <v>43</v>
      </c>
      <c r="AB8" s="51">
        <f>數據!P7</f>
        <v>30.504000000000001</v>
      </c>
      <c r="AC8" s="78">
        <f>數據!P6</f>
        <v>36.186</v>
      </c>
      <c r="AD8" s="3" t="s">
        <v>56</v>
      </c>
      <c r="AE8" s="4" t="s">
        <v>77</v>
      </c>
      <c r="AF8" s="4" t="s">
        <v>130</v>
      </c>
      <c r="AG8" s="3">
        <f>_xlfn.XLOOKUP(AD8, 數據!B$2:B$50, 數據!M$2:M$50)</f>
        <v>203</v>
      </c>
      <c r="AH8" s="3" t="s">
        <v>6</v>
      </c>
      <c r="AI8" s="63">
        <f>AG8*IF(AH8="G", 450, IF(AH8="D", 350, 0)) * IF(AF8="Y", 1.2, 1)*(INDEX(屬性克制表!$B$2:$T$20, MATCH(AE8, 屬性克制表!$A$2:$A$20, 0), MATCH($L$1, 屬性克制表!$B$1:$T$1, 0)) * INDEX(屬性克制表!$B$2:$T$20, MATCH(AE8, 屬性克制表!$A$2:$A$20, 0), MATCH($M$1, 屬性克制表!$B$1:$T$1, 0)))</f>
        <v>53287.5</v>
      </c>
      <c r="AK8" s="48" t="s">
        <v>55</v>
      </c>
      <c r="AL8" s="66">
        <f>AB8/(INDEX(屬性克制表!$B$2:$T$20, MATCH($A$1, 屬性克制表!$A$2:$A$20, 0), MATCH(Z8, 屬性克制表!$B$1:$T$1, 0)) * INDEX(屬性克制表!$B$2:$T$20, MATCH($A$1, 屬性克制表!$A$2:$A$20, 0), MATCH(AA8, 屬性克制表!$B$1:$T$1, 0)))</f>
        <v>19.065000000000001</v>
      </c>
      <c r="AM8" s="48" t="s">
        <v>55</v>
      </c>
      <c r="AN8" s="56">
        <f>AB8/(INDEX(屬性克制表!$B$2:$T$20, MATCH($C$1, 屬性克制表!$A$2:$A$20, 0), MATCH(Z8, 屬性克制表!$B$1:$T$1, 0)) * INDEX(屬性克制表!$B$2:$T$20, MATCH($C$1, 屬性克制表!$A$2:$A$20, 0), MATCH(AA8, 屬性克制表!$B$1:$T$1, 0)))</f>
        <v>30.504000000000001</v>
      </c>
      <c r="AO8" s="48" t="s">
        <v>55</v>
      </c>
      <c r="AP8" s="56">
        <f>AB8/(INDEX(屬性克制表!$B$2:$T$20, MATCH($E$1, 屬性克制表!$A$2:$A$20, 0), MATCH(Z8, 屬性克制表!$B$1:$T$1, 0)) * INDEX(屬性克制表!$B$2:$T$20, MATCH($E$1, 屬性克制表!$A$2:$A$20, 0), MATCH(AA8, 屬性克制表!$B$1:$T$1, 0)))</f>
        <v>30.504000000000001</v>
      </c>
      <c r="AQ8" s="48" t="s">
        <v>55</v>
      </c>
      <c r="AR8" s="56">
        <f>AB8/(INDEX(屬性克制表!$B$2:$T$20, MATCH($G$1, 屬性克制表!$A$2:$A$20, 0), MATCH(Z8, 屬性克制表!$B$1:$T$1, 0)) * INDEX(屬性克制表!$B$2:$T$20, MATCH($G$1, 屬性克制表!$A$2:$A$20, 0), MATCH(AA8, 屬性克制表!$B$1:$T$1, 0)))</f>
        <v>30.504000000000001</v>
      </c>
    </row>
    <row r="9" spans="1:44">
      <c r="A9" s="73" t="str">
        <v>洛奇亞</v>
      </c>
      <c r="B9" s="75">
        <v>50.628999999999998</v>
      </c>
      <c r="C9" s="73" t="str">
        <v>高傲雉雞</v>
      </c>
      <c r="D9" s="75">
        <v>51.969309462915596</v>
      </c>
      <c r="E9" s="73" t="str">
        <v>帝牙海獅</v>
      </c>
      <c r="F9" s="75">
        <v>49.044799999999995</v>
      </c>
      <c r="G9" s="73" t="str">
        <v>閃焰王牌</v>
      </c>
      <c r="H9" s="75">
        <v>38.975999999999999</v>
      </c>
      <c r="I9" s="68"/>
      <c r="J9" s="48" t="str">
        <v>胡地</v>
      </c>
      <c r="K9" s="48" t="str">
        <v>超能力</v>
      </c>
      <c r="L9" s="48" t="str">
        <v>Y</v>
      </c>
      <c r="M9" s="48">
        <v>225</v>
      </c>
      <c r="N9" s="48" t="str">
        <v>D</v>
      </c>
      <c r="O9" s="71">
        <v>151200</v>
      </c>
      <c r="P9" s="83">
        <f t="shared" si="0"/>
        <v>0.69273399014778314</v>
      </c>
      <c r="Q9" s="63"/>
      <c r="R9" s="63"/>
      <c r="S9" s="63"/>
      <c r="T9" s="63"/>
      <c r="U9" s="63"/>
      <c r="V9" s="63"/>
      <c r="W9" s="63"/>
      <c r="Y9" s="48" t="s">
        <v>86</v>
      </c>
      <c r="Z9" s="48" t="s">
        <v>36</v>
      </c>
      <c r="AA9" s="48" t="s">
        <v>76</v>
      </c>
      <c r="AB9" s="51">
        <f>數據!P8</f>
        <v>33.81</v>
      </c>
      <c r="AC9" s="78">
        <f>數據!P7</f>
        <v>30.504000000000001</v>
      </c>
      <c r="AD9" s="3" t="s">
        <v>64</v>
      </c>
      <c r="AE9" s="4" t="s">
        <v>77</v>
      </c>
      <c r="AF9" s="4" t="s">
        <v>130</v>
      </c>
      <c r="AG9" s="3">
        <f>_xlfn.XLOOKUP(AD9, 數據!B$2:B$50, 數據!M$2:M$50)</f>
        <v>194</v>
      </c>
      <c r="AH9" s="3" t="s">
        <v>6</v>
      </c>
      <c r="AI9" s="63">
        <f>AG9*IF(AH9="G", 450, IF(AH9="D", 350, 0)) * IF(AF9="Y", 1.2, 1)*(INDEX(屬性克制表!$B$2:$T$20, MATCH(AE9, 屬性克制表!$A$2:$A$20, 0), MATCH($L$1, 屬性克制表!$B$1:$T$1, 0)) * INDEX(屬性克制表!$B$2:$T$20, MATCH(AE9, 屬性克制表!$A$2:$A$20, 0), MATCH($M$1, 屬性克制表!$B$1:$T$1, 0)))</f>
        <v>50925</v>
      </c>
      <c r="AK9" s="48" t="s">
        <v>86</v>
      </c>
      <c r="AL9" s="66">
        <f>AB9/(INDEX(屬性克制表!$B$2:$T$20, MATCH($A$1, 屬性克制表!$A$2:$A$20, 0), MATCH(Z9, 屬性克制表!$B$1:$T$1, 0)) * INDEX(屬性克制表!$B$2:$T$20, MATCH($A$1, 屬性克制表!$A$2:$A$20, 0), MATCH(AA9, 屬性克制表!$B$1:$T$1, 0)))</f>
        <v>33.81</v>
      </c>
      <c r="AM9" s="48" t="s">
        <v>86</v>
      </c>
      <c r="AN9" s="56">
        <f>AB9/(INDEX(屬性克制表!$B$2:$T$20, MATCH($C$1, 屬性克制表!$A$2:$A$20, 0), MATCH(Z9, 屬性克制表!$B$1:$T$1, 0)) * INDEX(屬性克制表!$B$2:$T$20, MATCH($C$1, 屬性克制表!$A$2:$A$20, 0), MATCH(AA9, 屬性克制表!$B$1:$T$1, 0)))</f>
        <v>33.81</v>
      </c>
      <c r="AO9" s="48" t="s">
        <v>86</v>
      </c>
      <c r="AP9" s="56">
        <f>AB9/(INDEX(屬性克制表!$B$2:$T$20, MATCH($E$1, 屬性克制表!$A$2:$A$20, 0), MATCH(Z9, 屬性克制表!$B$1:$T$1, 0)) * INDEX(屬性克制表!$B$2:$T$20, MATCH($E$1, 屬性克制表!$A$2:$A$20, 0), MATCH(AA9, 屬性克制表!$B$1:$T$1, 0)))</f>
        <v>54.096000000000004</v>
      </c>
      <c r="AQ9" s="48" t="s">
        <v>86</v>
      </c>
      <c r="AR9" s="56">
        <f>AB9/(INDEX(屬性克制表!$B$2:$T$20, MATCH($G$1, 屬性克制表!$A$2:$A$20, 0), MATCH(Z9, 屬性克制表!$B$1:$T$1, 0)) * INDEX(屬性克制表!$B$2:$T$20, MATCH($G$1, 屬性克制表!$A$2:$A$20, 0), MATCH(AA9, 屬性克制表!$B$1:$T$1, 0)))</f>
        <v>33.81</v>
      </c>
    </row>
    <row r="10" spans="1:44">
      <c r="A10" s="73" t="str">
        <v>龐岩怪</v>
      </c>
      <c r="B10" s="75">
        <v>45.964800000000004</v>
      </c>
      <c r="C10" s="73" t="str">
        <v>武道熊師(一)</v>
      </c>
      <c r="D10" s="75">
        <v>45.12</v>
      </c>
      <c r="E10" s="73" t="str">
        <v>武道熊師(連)</v>
      </c>
      <c r="F10" s="75">
        <v>45.12</v>
      </c>
      <c r="G10" s="73" t="str">
        <v>火焰鳥</v>
      </c>
      <c r="H10" s="75">
        <v>38.076799999999999</v>
      </c>
      <c r="I10" s="68"/>
      <c r="J10" s="48" t="str">
        <v>鋼鎧鴉</v>
      </c>
      <c r="K10" s="48" t="str">
        <v>飛行</v>
      </c>
      <c r="L10" s="48" t="str">
        <v>Y</v>
      </c>
      <c r="M10" s="48">
        <v>140</v>
      </c>
      <c r="N10" s="48" t="str">
        <v>D</v>
      </c>
      <c r="O10" s="71">
        <v>150528.00000000003</v>
      </c>
      <c r="P10" s="83">
        <f t="shared" si="0"/>
        <v>0.68965517241379315</v>
      </c>
      <c r="Q10" s="63"/>
      <c r="R10" s="63"/>
      <c r="S10" s="63"/>
      <c r="T10" s="63"/>
      <c r="U10" s="63"/>
      <c r="V10" s="63"/>
      <c r="W10" s="63"/>
      <c r="Y10" s="48" t="s">
        <v>82</v>
      </c>
      <c r="Z10" s="48" t="s">
        <v>45</v>
      </c>
      <c r="AA10" s="48" t="s">
        <v>47</v>
      </c>
      <c r="AB10" s="51">
        <f>數據!P9</f>
        <v>22.308</v>
      </c>
      <c r="AC10" s="78">
        <f>數據!P8</f>
        <v>33.81</v>
      </c>
      <c r="AD10" s="3" t="s">
        <v>91</v>
      </c>
      <c r="AE10" s="3" t="s">
        <v>35</v>
      </c>
      <c r="AF10" s="3" t="s">
        <v>130</v>
      </c>
      <c r="AG10" s="3">
        <f>_xlfn.XLOOKUP(AD10, 數據!B$2:B$50, 數據!M$2:M$50)</f>
        <v>200</v>
      </c>
      <c r="AH10" s="3" t="s">
        <v>6</v>
      </c>
      <c r="AI10" s="63">
        <f>AG10*IF(AH10="G", 450, IF(AH10="D", 350, 0)) * IF(AF10="Y", 1.2, 1)*(INDEX(屬性克制表!$B$2:$T$20, MATCH(AE10, 屬性克制表!$A$2:$A$20, 0), MATCH($L$1, 屬性克制表!$B$1:$T$1, 0)) * INDEX(屬性克制表!$B$2:$T$20, MATCH(AE10, 屬性克制表!$A$2:$A$20, 0), MATCH($M$1, 屬性克制表!$B$1:$T$1, 0)))</f>
        <v>52500</v>
      </c>
      <c r="AK10" s="48" t="s">
        <v>82</v>
      </c>
      <c r="AL10" s="66">
        <f>AB10/(INDEX(屬性克制表!$B$2:$T$20, MATCH($A$1, 屬性克制表!$A$2:$A$20, 0), MATCH(Z10, 屬性克制表!$B$1:$T$1, 0)) * INDEX(屬性克制表!$B$2:$T$20, MATCH($A$1, 屬性克制表!$A$2:$A$20, 0), MATCH(AA10, 屬性克制表!$B$1:$T$1, 0)))</f>
        <v>35.692799999999998</v>
      </c>
      <c r="AM10" s="48" t="s">
        <v>82</v>
      </c>
      <c r="AN10" s="56">
        <f>AB10/(INDEX(屬性克制表!$B$2:$T$20, MATCH($C$1, 屬性克制表!$A$2:$A$20, 0), MATCH(Z10, 屬性克制表!$B$1:$T$1, 0)) * INDEX(屬性克制表!$B$2:$T$20, MATCH($C$1, 屬性克制表!$A$2:$A$20, 0), MATCH(AA10, 屬性克制表!$B$1:$T$1, 0)))</f>
        <v>13.942499999999999</v>
      </c>
      <c r="AO10" s="48" t="s">
        <v>82</v>
      </c>
      <c r="AP10" s="56">
        <f>AB10/(INDEX(屬性克制表!$B$2:$T$20, MATCH($E$1, 屬性克制表!$A$2:$A$20, 0), MATCH(Z10, 屬性克制表!$B$1:$T$1, 0)) * INDEX(屬性克制表!$B$2:$T$20, MATCH($E$1, 屬性克制表!$A$2:$A$20, 0), MATCH(AA10, 屬性克制表!$B$1:$T$1, 0)))</f>
        <v>35.692799999999998</v>
      </c>
      <c r="AQ10" s="48" t="s">
        <v>82</v>
      </c>
      <c r="AR10" s="56">
        <f>AB10/(INDEX(屬性克制表!$B$2:$T$20, MATCH($G$1, 屬性克制表!$A$2:$A$20, 0), MATCH(Z10, 屬性克制表!$B$1:$T$1, 0)) * INDEX(屬性克制表!$B$2:$T$20, MATCH($G$1, 屬性克制表!$A$2:$A$20, 0), MATCH(AA10, 屬性克制表!$B$1:$T$1, 0)))</f>
        <v>13.942499999999999</v>
      </c>
    </row>
    <row r="11" spans="1:44">
      <c r="A11" s="73" t="str">
        <v>武道熊師(連)</v>
      </c>
      <c r="B11" s="75">
        <v>45.12</v>
      </c>
      <c r="C11" s="73" t="str">
        <v>藏瑪然特</v>
      </c>
      <c r="D11" s="75">
        <v>43.07</v>
      </c>
      <c r="E11" s="73" t="str">
        <v>水箭龜</v>
      </c>
      <c r="F11" s="75">
        <v>44.519999999999996</v>
      </c>
      <c r="G11" s="73" t="str">
        <v>妙蛙花</v>
      </c>
      <c r="H11" s="75">
        <v>37.9392</v>
      </c>
      <c r="I11" s="68"/>
      <c r="J11" s="48" t="str">
        <v>拉帝歐斯</v>
      </c>
      <c r="K11" s="48" t="str">
        <v>超能力</v>
      </c>
      <c r="L11" s="48" t="str">
        <v>Y</v>
      </c>
      <c r="M11" s="48">
        <v>221</v>
      </c>
      <c r="N11" s="48" t="str">
        <v>D</v>
      </c>
      <c r="O11" s="71">
        <v>148512</v>
      </c>
      <c r="P11" s="83">
        <f t="shared" si="0"/>
        <v>0.68041871921182251</v>
      </c>
      <c r="Q11" s="63"/>
      <c r="R11" s="63"/>
      <c r="S11" s="63"/>
      <c r="T11" s="63"/>
      <c r="U11" s="63"/>
      <c r="V11" s="63"/>
      <c r="W11" s="63"/>
      <c r="Y11" s="48" t="s">
        <v>87</v>
      </c>
      <c r="Z11" s="48" t="s">
        <v>71</v>
      </c>
      <c r="AA11" s="48" t="s">
        <v>99</v>
      </c>
      <c r="AB11" s="51">
        <f>數據!P10</f>
        <v>36.848999999999997</v>
      </c>
      <c r="AC11" s="78">
        <f>數據!P9</f>
        <v>22.308</v>
      </c>
      <c r="AD11" s="3" t="s">
        <v>62</v>
      </c>
      <c r="AE11" s="3" t="s">
        <v>70</v>
      </c>
      <c r="AF11" s="3" t="s">
        <v>130</v>
      </c>
      <c r="AG11" s="3">
        <f>_xlfn.XLOOKUP(AD11, 數據!B$2:B$50, 數據!M$2:M$50)</f>
        <v>201</v>
      </c>
      <c r="AH11" s="3" t="s">
        <v>6</v>
      </c>
      <c r="AI11" s="63">
        <f>AG11*IF(AH11="G", 450, IF(AH11="D", 350, 0)) * IF(AF11="Y", 1.2, 1)*(INDEX(屬性克制表!$B$2:$T$20, MATCH(AE11, 屬性克制表!$A$2:$A$20, 0), MATCH($L$1, 屬性克制表!$B$1:$T$1, 0)) * INDEX(屬性克制表!$B$2:$T$20, MATCH(AE11, 屬性克制表!$A$2:$A$20, 0), MATCH($M$1, 屬性克制表!$B$1:$T$1, 0)))</f>
        <v>84420</v>
      </c>
      <c r="AK11" s="48" t="s">
        <v>87</v>
      </c>
      <c r="AL11" s="66">
        <f>AB11/(INDEX(屬性克制表!$B$2:$T$20, MATCH($A$1, 屬性克制表!$A$2:$A$20, 0), MATCH(Z11, 屬性克制表!$B$1:$T$1, 0)) * INDEX(屬性克制表!$B$2:$T$20, MATCH($A$1, 屬性克制表!$A$2:$A$20, 0), MATCH(AA11, 屬性克制表!$B$1:$T$1, 0)))</f>
        <v>23.030624999999997</v>
      </c>
      <c r="AM11" s="48" t="s">
        <v>87</v>
      </c>
      <c r="AN11" s="56">
        <f>AB11/(INDEX(屬性克制表!$B$2:$T$20, MATCH($C$1, 屬性克制表!$A$2:$A$20, 0), MATCH(Z11, 屬性克制表!$B$1:$T$1, 0)) * INDEX(屬性克制表!$B$2:$T$20, MATCH($C$1, 屬性克制表!$A$2:$A$20, 0), MATCH(AA11, 屬性克制表!$B$1:$T$1, 0)))</f>
        <v>36.848999999999997</v>
      </c>
      <c r="AO11" s="48" t="s">
        <v>87</v>
      </c>
      <c r="AP11" s="56">
        <f>AB11/(INDEX(屬性克制表!$B$2:$T$20, MATCH($E$1, 屬性克制表!$A$2:$A$20, 0), MATCH(Z11, 屬性克制表!$B$1:$T$1, 0)) * INDEX(屬性克制表!$B$2:$T$20, MATCH($E$1, 屬性克制表!$A$2:$A$20, 0), MATCH(AA11, 屬性克制表!$B$1:$T$1, 0)))</f>
        <v>36.848999999999997</v>
      </c>
      <c r="AQ11" s="48" t="s">
        <v>87</v>
      </c>
      <c r="AR11" s="56">
        <f>AB11/(INDEX(屬性克制表!$B$2:$T$20, MATCH($G$1, 屬性克制表!$A$2:$A$20, 0), MATCH(Z11, 屬性克制表!$B$1:$T$1, 0)) * INDEX(屬性克制表!$B$2:$T$20, MATCH($G$1, 屬性克制表!$A$2:$A$20, 0), MATCH(AA11, 屬性克制表!$B$1:$T$1, 0)))</f>
        <v>58.958399999999997</v>
      </c>
    </row>
    <row r="12" spans="1:44">
      <c r="A12" s="73" t="str">
        <v>水箭龜</v>
      </c>
      <c r="B12" s="75">
        <v>44.519999999999996</v>
      </c>
      <c r="C12" s="73" t="str">
        <v>蒼響</v>
      </c>
      <c r="D12" s="75">
        <v>36.848999999999997</v>
      </c>
      <c r="E12" s="73" t="str">
        <v>拉帝歐斯</v>
      </c>
      <c r="F12" s="75">
        <v>44.492800000000003</v>
      </c>
      <c r="G12" s="73" t="str">
        <v>龍頭地鼠</v>
      </c>
      <c r="H12" s="75">
        <v>37.904000000000003</v>
      </c>
      <c r="I12" s="68"/>
      <c r="J12" s="48" t="str">
        <v>狒狒達摩</v>
      </c>
      <c r="K12" s="48" t="str">
        <v>火</v>
      </c>
      <c r="L12" s="48" t="str">
        <v>Y</v>
      </c>
      <c r="M12" s="48">
        <v>218</v>
      </c>
      <c r="N12" s="48" t="str">
        <v>D</v>
      </c>
      <c r="O12" s="71">
        <v>146496</v>
      </c>
      <c r="P12" s="83">
        <f t="shared" si="0"/>
        <v>0.67118226600985209</v>
      </c>
      <c r="Q12" s="63"/>
      <c r="R12" s="63"/>
      <c r="S12" s="63"/>
      <c r="T12" s="63"/>
      <c r="U12" s="63"/>
      <c r="V12" s="63"/>
      <c r="W12" s="63"/>
      <c r="Y12" s="48" t="s">
        <v>81</v>
      </c>
      <c r="Z12" s="48" t="s">
        <v>45</v>
      </c>
      <c r="AA12" s="48" t="s">
        <v>47</v>
      </c>
      <c r="AB12" s="51">
        <f>數據!P11</f>
        <v>27.808</v>
      </c>
      <c r="AC12" s="78">
        <f>數據!P10</f>
        <v>36.848999999999997</v>
      </c>
      <c r="AD12" s="3" t="s">
        <v>92</v>
      </c>
      <c r="AE12" s="4" t="s">
        <v>77</v>
      </c>
      <c r="AF12" s="4" t="s">
        <v>130</v>
      </c>
      <c r="AG12" s="3">
        <f>_xlfn.XLOOKUP(AD12, 數據!B$2:B$50, 數據!M$2:M$50)</f>
        <v>188</v>
      </c>
      <c r="AH12" s="3" t="s">
        <v>6</v>
      </c>
      <c r="AI12" s="63">
        <f>AG12*IF(AH12="G", 450, IF(AH12="D", 350, 0)) * IF(AF12="Y", 1.2, 1)*(INDEX(屬性克制表!$B$2:$T$20, MATCH(AE12, 屬性克制表!$A$2:$A$20, 0), MATCH($L$1, 屬性克制表!$B$1:$T$1, 0)) * INDEX(屬性克制表!$B$2:$T$20, MATCH(AE12, 屬性克制表!$A$2:$A$20, 0), MATCH($M$1, 屬性克制表!$B$1:$T$1, 0)))</f>
        <v>49350</v>
      </c>
      <c r="AK12" s="48" t="s">
        <v>81</v>
      </c>
      <c r="AL12" s="66">
        <f>AB12/(INDEX(屬性克制表!$B$2:$T$20, MATCH($A$1, 屬性克制表!$A$2:$A$20, 0), MATCH(Z12, 屬性克制表!$B$1:$T$1, 0)) * INDEX(屬性克制表!$B$2:$T$20, MATCH($A$1, 屬性克制表!$A$2:$A$20, 0), MATCH(AA12, 屬性克制表!$B$1:$T$1, 0)))</f>
        <v>44.492800000000003</v>
      </c>
      <c r="AM12" s="48" t="s">
        <v>81</v>
      </c>
      <c r="AN12" s="56">
        <f>AB12/(INDEX(屬性克制表!$B$2:$T$20, MATCH($C$1, 屬性克制表!$A$2:$A$20, 0), MATCH(Z12, 屬性克制表!$B$1:$T$1, 0)) * INDEX(屬性克制表!$B$2:$T$20, MATCH($C$1, 屬性克制表!$A$2:$A$20, 0), MATCH(AA12, 屬性克制表!$B$1:$T$1, 0)))</f>
        <v>17.38</v>
      </c>
      <c r="AO12" s="48" t="s">
        <v>81</v>
      </c>
      <c r="AP12" s="56">
        <f>AB12/(INDEX(屬性克制表!$B$2:$T$20, MATCH($E$1, 屬性克制表!$A$2:$A$20, 0), MATCH(Z12, 屬性克制表!$B$1:$T$1, 0)) * INDEX(屬性克制表!$B$2:$T$20, MATCH($E$1, 屬性克制表!$A$2:$A$20, 0), MATCH(AA12, 屬性克制表!$B$1:$T$1, 0)))</f>
        <v>44.492800000000003</v>
      </c>
      <c r="AQ12" s="48" t="s">
        <v>81</v>
      </c>
      <c r="AR12" s="56">
        <f>AB12/(INDEX(屬性克制表!$B$2:$T$20, MATCH($G$1, 屬性克制表!$A$2:$A$20, 0), MATCH(Z12, 屬性克制表!$B$1:$T$1, 0)) * INDEX(屬性克制表!$B$2:$T$20, MATCH($G$1, 屬性克制表!$A$2:$A$20, 0), MATCH(AA12, 屬性克制表!$B$1:$T$1, 0)))</f>
        <v>17.38</v>
      </c>
    </row>
    <row r="13" spans="1:44">
      <c r="A13" s="73" t="str">
        <v>拉帝歐斯</v>
      </c>
      <c r="B13" s="75">
        <v>44.492800000000003</v>
      </c>
      <c r="C13" s="73" t="str">
        <v>無極汰那</v>
      </c>
      <c r="D13" s="75">
        <v>36.186</v>
      </c>
      <c r="E13" s="73" t="str">
        <v>轟擂金剛猩</v>
      </c>
      <c r="F13" s="75">
        <v>43.243200000000002</v>
      </c>
      <c r="G13" s="73" t="str">
        <v>炎帝</v>
      </c>
      <c r="H13" s="75">
        <v>37.683199999999999</v>
      </c>
      <c r="I13" s="68"/>
      <c r="J13" s="48" t="str">
        <v>太陽伊布</v>
      </c>
      <c r="K13" s="48" t="str">
        <v>超能力</v>
      </c>
      <c r="L13" s="48" t="str">
        <v>Y</v>
      </c>
      <c r="M13" s="48">
        <v>218</v>
      </c>
      <c r="N13" s="48" t="str">
        <v>D</v>
      </c>
      <c r="O13" s="71">
        <v>146496</v>
      </c>
      <c r="P13" s="83">
        <f t="shared" si="0"/>
        <v>0.67118226600985209</v>
      </c>
      <c r="Q13" s="63"/>
      <c r="R13" s="63"/>
      <c r="S13" s="63"/>
      <c r="T13" s="63"/>
      <c r="U13" s="63"/>
      <c r="V13" s="63"/>
      <c r="W13" s="63"/>
      <c r="Y13" s="47" t="s">
        <v>51</v>
      </c>
      <c r="Z13" s="48" t="s">
        <v>71</v>
      </c>
      <c r="AA13" s="48" t="s">
        <v>47</v>
      </c>
      <c r="AB13" s="51">
        <f>數據!P12</f>
        <v>30.428999999999998</v>
      </c>
      <c r="AC13" s="78">
        <f>數據!P12</f>
        <v>30.428999999999998</v>
      </c>
      <c r="AD13" s="3" t="s">
        <v>66</v>
      </c>
      <c r="AE13" s="3" t="s">
        <v>70</v>
      </c>
      <c r="AF13" s="3" t="s">
        <v>130</v>
      </c>
      <c r="AG13" s="3">
        <f>_xlfn.XLOOKUP(AD13, 數據!B$2:B$50, 數據!M$2:M$50)</f>
        <v>181</v>
      </c>
      <c r="AH13" s="3" t="s">
        <v>6</v>
      </c>
      <c r="AI13" s="63">
        <f>AG13*IF(AH13="G", 450, IF(AH13="D", 350, 0)) * IF(AF13="Y", 1.2, 1)*(INDEX(屬性克制表!$B$2:$T$20, MATCH(AE13, 屬性克制表!$A$2:$A$20, 0), MATCH($L$1, 屬性克制表!$B$1:$T$1, 0)) * INDEX(屬性克制表!$B$2:$T$20, MATCH(AE13, 屬性克制表!$A$2:$A$20, 0), MATCH($M$1, 屬性克制表!$B$1:$T$1, 0)))</f>
        <v>76020</v>
      </c>
      <c r="AK13" s="47" t="s">
        <v>51</v>
      </c>
      <c r="AL13" s="66">
        <f>AB13/(INDEX(屬性克制表!$B$2:$T$20, MATCH($A$1, 屬性克制表!$A$2:$A$20, 0), MATCH(Z13, 屬性克制表!$B$1:$T$1, 0)) * INDEX(屬性克制表!$B$2:$T$20, MATCH($A$1, 屬性克制表!$A$2:$A$20, 0), MATCH(AA13, 屬性克制表!$B$1:$T$1, 0)))</f>
        <v>19.018124999999998</v>
      </c>
      <c r="AM13" s="47" t="s">
        <v>51</v>
      </c>
      <c r="AN13" s="56">
        <f>AB13/(INDEX(屬性克制表!$B$2:$T$20, MATCH($C$1, 屬性克制表!$A$2:$A$20, 0), MATCH(Z13, 屬性克制表!$B$1:$T$1, 0)) * INDEX(屬性克制表!$B$2:$T$20, MATCH($C$1, 屬性克制表!$A$2:$A$20, 0), MATCH(AA13, 屬性克制表!$B$1:$T$1, 0)))</f>
        <v>19.018124999999998</v>
      </c>
      <c r="AO13" s="47" t="s">
        <v>51</v>
      </c>
      <c r="AP13" s="56">
        <f>AB13/(INDEX(屬性克制表!$B$2:$T$20, MATCH($E$1, 屬性克制表!$A$2:$A$20, 0), MATCH(Z13, 屬性克制表!$B$1:$T$1, 0)) * INDEX(屬性克制表!$B$2:$T$20, MATCH($E$1, 屬性克制表!$A$2:$A$20, 0), MATCH(AA13, 屬性克制表!$B$1:$T$1, 0)))</f>
        <v>30.428999999999998</v>
      </c>
      <c r="AQ13" s="47" t="s">
        <v>51</v>
      </c>
      <c r="AR13" s="56">
        <f>AB13/(INDEX(屬性克制表!$B$2:$T$20, MATCH($G$1, 屬性克制表!$A$2:$A$20, 0), MATCH(Z13, 屬性克制表!$B$1:$T$1, 0)) * INDEX(屬性克制表!$B$2:$T$20, MATCH($G$1, 屬性克制表!$A$2:$A$20, 0), MATCH(AA13, 屬性克制表!$B$1:$T$1, 0)))</f>
        <v>48.686399999999999</v>
      </c>
    </row>
    <row r="14" spans="1:44">
      <c r="A14" s="73" t="str">
        <v>閃焰王牌</v>
      </c>
      <c r="B14" s="75">
        <v>38.975999999999999</v>
      </c>
      <c r="C14" s="73" t="str">
        <v>水君</v>
      </c>
      <c r="D14" s="75">
        <v>34.58</v>
      </c>
      <c r="E14" s="73" t="str">
        <v>藏瑪然特</v>
      </c>
      <c r="F14" s="75">
        <v>43.07</v>
      </c>
      <c r="G14" s="73" t="str">
        <v>灰塵山</v>
      </c>
      <c r="H14" s="75">
        <v>36.287999999999997</v>
      </c>
      <c r="I14" s="68"/>
      <c r="J14" s="48" t="str">
        <v>巨金怪</v>
      </c>
      <c r="K14" s="48" t="str">
        <v>超能力</v>
      </c>
      <c r="L14" s="48" t="str">
        <v>Y</v>
      </c>
      <c r="M14" s="48">
        <v>214</v>
      </c>
      <c r="N14" s="48" t="str">
        <v>D</v>
      </c>
      <c r="O14" s="71">
        <v>143808</v>
      </c>
      <c r="P14" s="83">
        <f t="shared" si="0"/>
        <v>0.65886699507389157</v>
      </c>
      <c r="Q14" s="63"/>
      <c r="R14" s="63"/>
      <c r="S14" s="63"/>
      <c r="T14" s="63"/>
      <c r="U14" s="63"/>
      <c r="V14" s="63"/>
      <c r="W14" s="63"/>
      <c r="Y14" s="48" t="s">
        <v>8</v>
      </c>
      <c r="Z14" s="48" t="s">
        <v>42</v>
      </c>
      <c r="AA14" s="48" t="s">
        <v>118</v>
      </c>
      <c r="AB14" s="51">
        <f>數據!P13</f>
        <v>23.552</v>
      </c>
      <c r="AC14" s="78">
        <f>數據!P13</f>
        <v>23.552</v>
      </c>
      <c r="AD14" s="3" t="s">
        <v>48</v>
      </c>
      <c r="AE14" s="4" t="s">
        <v>72</v>
      </c>
      <c r="AF14" s="4" t="s">
        <v>130</v>
      </c>
      <c r="AG14" s="3">
        <f>_xlfn.XLOOKUP(AD14, 數據!B$2:B$50, 數據!M$2:M$50)</f>
        <v>223</v>
      </c>
      <c r="AH14" s="3" t="s">
        <v>5</v>
      </c>
      <c r="AI14" s="63">
        <f>AG14*IF(AH14="G", 450, IF(AH14="D", 350, 0)) * IF(AF14="Y", 1.2, 1)*(INDEX(屬性克制表!$B$2:$T$20, MATCH(AE14, 屬性克制表!$A$2:$A$20, 0), MATCH($L$1, 屬性克制表!$B$1:$T$1, 0)) * INDEX(屬性克制表!$B$2:$T$20, MATCH(AE14, 屬性克制表!$A$2:$A$20, 0), MATCH($M$1, 屬性克制表!$B$1:$T$1, 0)))</f>
        <v>120420</v>
      </c>
      <c r="AK14" s="48" t="s">
        <v>8</v>
      </c>
      <c r="AL14" s="66">
        <f>AB14/(INDEX(屬性克制表!$B$2:$T$20, MATCH($A$1, 屬性克制表!$A$2:$A$20, 0), MATCH(Z14, 屬性克制表!$B$1:$T$1, 0)) * INDEX(屬性克制表!$B$2:$T$20, MATCH($A$1, 屬性克制表!$A$2:$A$20, 0), MATCH(AA14, 屬性克制表!$B$1:$T$1, 0)))</f>
        <v>37.683199999999999</v>
      </c>
      <c r="AM14" s="48" t="s">
        <v>8</v>
      </c>
      <c r="AN14" s="56">
        <f>AB14/(INDEX(屬性克制表!$B$2:$T$20, MATCH($C$1, 屬性克制表!$A$2:$A$20, 0), MATCH(Z14, 屬性克制表!$B$1:$T$1, 0)) * INDEX(屬性克制表!$B$2:$T$20, MATCH($C$1, 屬性克制表!$A$2:$A$20, 0), MATCH(AA14, 屬性克制表!$B$1:$T$1, 0)))</f>
        <v>23.552</v>
      </c>
      <c r="AO14" s="48" t="s">
        <v>8</v>
      </c>
      <c r="AP14" s="56">
        <f>AB14/(INDEX(屬性克制表!$B$2:$T$20, MATCH($E$1, 屬性克制表!$A$2:$A$20, 0), MATCH(Z14, 屬性克制表!$B$1:$T$1, 0)) * INDEX(屬性克制表!$B$2:$T$20, MATCH($E$1, 屬性克制表!$A$2:$A$20, 0), MATCH(AA14, 屬性克制表!$B$1:$T$1, 0)))</f>
        <v>14.719999999999999</v>
      </c>
      <c r="AQ14" s="48" t="s">
        <v>8</v>
      </c>
      <c r="AR14" s="56">
        <f>AB14/(INDEX(屬性克制表!$B$2:$T$20, MATCH($G$1, 屬性克制表!$A$2:$A$20, 0), MATCH(Z14, 屬性克制表!$B$1:$T$1, 0)) * INDEX(屬性克制表!$B$2:$T$20, MATCH($G$1, 屬性克制表!$A$2:$A$20, 0), MATCH(AA14, 屬性克制表!$B$1:$T$1, 0)))</f>
        <v>37.683199999999999</v>
      </c>
    </row>
    <row r="15" spans="1:44">
      <c r="A15" s="73" t="str">
        <v>火焰鳥</v>
      </c>
      <c r="B15" s="75">
        <v>38.076799999999999</v>
      </c>
      <c r="C15" s="73" t="str">
        <v>拉普拉斯</v>
      </c>
      <c r="D15" s="75">
        <v>33.81</v>
      </c>
      <c r="E15" s="73" t="str">
        <v>葉伊布</v>
      </c>
      <c r="F15" s="75">
        <v>41.44</v>
      </c>
      <c r="G15" s="73" t="str">
        <v>噴火龍</v>
      </c>
      <c r="H15" s="75">
        <v>36.192</v>
      </c>
      <c r="I15" s="68"/>
      <c r="J15" s="48" t="str">
        <v>火伊布</v>
      </c>
      <c r="K15" s="48" t="str">
        <v>火</v>
      </c>
      <c r="L15" s="48" t="str">
        <v>Y</v>
      </c>
      <c r="M15" s="48">
        <v>206</v>
      </c>
      <c r="N15" s="48" t="str">
        <v>D</v>
      </c>
      <c r="O15" s="71">
        <v>138432</v>
      </c>
      <c r="P15" s="83">
        <f t="shared" si="0"/>
        <v>0.63423645320197031</v>
      </c>
      <c r="Q15" s="63"/>
      <c r="R15" s="63"/>
      <c r="S15" s="63"/>
      <c r="T15" s="63"/>
      <c r="U15" s="63"/>
      <c r="V15" s="63"/>
      <c r="W15" s="63"/>
      <c r="Y15" s="47" t="s">
        <v>61</v>
      </c>
      <c r="Z15" s="48" t="s">
        <v>71</v>
      </c>
      <c r="AA15" s="48" t="s">
        <v>43</v>
      </c>
      <c r="AB15" s="51">
        <f>數據!P14</f>
        <v>31.35</v>
      </c>
      <c r="AC15" s="78">
        <f>數據!P14</f>
        <v>31.35</v>
      </c>
      <c r="AD15" s="3" t="s">
        <v>87</v>
      </c>
      <c r="AE15" s="4" t="s">
        <v>71</v>
      </c>
      <c r="AF15" s="4" t="s">
        <v>130</v>
      </c>
      <c r="AG15" s="3">
        <f>_xlfn.XLOOKUP(AD15, 數據!B$2:B$50, 數據!M$2:M$50)</f>
        <v>291</v>
      </c>
      <c r="AH15" s="3" t="s">
        <v>6</v>
      </c>
      <c r="AI15" s="63">
        <f>AG15*IF(AH15="G", 450, IF(AH15="D", 350, 0)) * IF(AF15="Y", 1.2, 1)*(INDEX(屬性克制表!$B$2:$T$20, MATCH(AE15, 屬性克制表!$A$2:$A$20, 0), MATCH($L$1, 屬性克制表!$B$1:$T$1, 0)) * INDEX(屬性克制表!$B$2:$T$20, MATCH(AE15, 屬性克制表!$A$2:$A$20, 0), MATCH($M$1, 屬性克制表!$B$1:$T$1, 0)))</f>
        <v>122220</v>
      </c>
      <c r="AK15" s="47" t="s">
        <v>61</v>
      </c>
      <c r="AL15" s="66">
        <f>AB15/(INDEX(屬性克制表!$B$2:$T$20, MATCH($A$1, 屬性克制表!$A$2:$A$20, 0), MATCH(Z15, 屬性克制表!$B$1:$T$1, 0)) * INDEX(屬性克制表!$B$2:$T$20, MATCH($A$1, 屬性克制表!$A$2:$A$20, 0), MATCH(AA15, 屬性克制表!$B$1:$T$1, 0)))</f>
        <v>19.59375</v>
      </c>
      <c r="AM15" s="47" t="s">
        <v>61</v>
      </c>
      <c r="AN15" s="56">
        <f>AB15/(INDEX(屬性克制表!$B$2:$T$20, MATCH($C$1, 屬性克制表!$A$2:$A$20, 0), MATCH(Z15, 屬性克制表!$B$1:$T$1, 0)) * INDEX(屬性克制表!$B$2:$T$20, MATCH($C$1, 屬性克制表!$A$2:$A$20, 0), MATCH(AA15, 屬性克制表!$B$1:$T$1, 0)))</f>
        <v>31.35</v>
      </c>
      <c r="AO15" s="47" t="s">
        <v>61</v>
      </c>
      <c r="AP15" s="56">
        <f>AB15/(INDEX(屬性克制表!$B$2:$T$20, MATCH($E$1, 屬性克制表!$A$2:$A$20, 0), MATCH(Z15, 屬性克制表!$B$1:$T$1, 0)) * INDEX(屬性克制表!$B$2:$T$20, MATCH($E$1, 屬性克制表!$A$2:$A$20, 0), MATCH(AA15, 屬性克制表!$B$1:$T$1, 0)))</f>
        <v>31.35</v>
      </c>
      <c r="AQ15" s="47" t="s">
        <v>61</v>
      </c>
      <c r="AR15" s="56">
        <f>AB15/(INDEX(屬性克制表!$B$2:$T$20, MATCH($G$1, 屬性克制表!$A$2:$A$20, 0), MATCH(Z15, 屬性克制表!$B$1:$T$1, 0)) * INDEX(屬性克制表!$B$2:$T$20, MATCH($G$1, 屬性克制表!$A$2:$A$20, 0), MATCH(AA15, 屬性克制表!$B$1:$T$1, 0)))</f>
        <v>50.160000000000004</v>
      </c>
    </row>
    <row r="16" spans="1:44">
      <c r="A16" s="73" t="str">
        <v>炎帝</v>
      </c>
      <c r="B16" s="75">
        <v>37.683199999999999</v>
      </c>
      <c r="C16" s="73" t="str">
        <v>壺壺</v>
      </c>
      <c r="D16" s="75">
        <v>33.659999999999997</v>
      </c>
      <c r="E16" s="73" t="str">
        <v>甜冷美后</v>
      </c>
      <c r="F16" s="75">
        <v>39.839999999999996</v>
      </c>
      <c r="G16" s="73" t="str">
        <v>無極汰那</v>
      </c>
      <c r="H16" s="75">
        <v>36.186</v>
      </c>
      <c r="I16" s="68"/>
      <c r="J16" s="48" t="str">
        <v>閃焰王牌</v>
      </c>
      <c r="K16" s="48" t="str">
        <v>火</v>
      </c>
      <c r="L16" s="48" t="str">
        <v>Y</v>
      </c>
      <c r="M16" s="48">
        <v>205</v>
      </c>
      <c r="N16" s="48" t="str">
        <v>D</v>
      </c>
      <c r="O16" s="71">
        <v>137760</v>
      </c>
      <c r="P16" s="83">
        <f t="shared" si="0"/>
        <v>0.6311576354679802</v>
      </c>
      <c r="Q16" s="63"/>
      <c r="R16" s="63"/>
      <c r="S16" s="63"/>
      <c r="T16" s="63"/>
      <c r="U16" s="63"/>
      <c r="V16" s="63"/>
      <c r="W16" s="63"/>
      <c r="Y16" s="48" t="s">
        <v>60</v>
      </c>
      <c r="Z16" s="48" t="s">
        <v>76</v>
      </c>
      <c r="AA16" s="48" t="s">
        <v>118</v>
      </c>
      <c r="AB16" s="51">
        <f>數據!P15</f>
        <v>26.295999999999999</v>
      </c>
      <c r="AC16" s="78">
        <f>數據!P15</f>
        <v>26.295999999999999</v>
      </c>
      <c r="AD16" s="3" t="s">
        <v>84</v>
      </c>
      <c r="AE16" s="4" t="s">
        <v>39</v>
      </c>
      <c r="AF16" s="4" t="s">
        <v>130</v>
      </c>
      <c r="AG16" s="3">
        <f>_xlfn.XLOOKUP(AD16, 數據!B$2:B$50, 數據!M$2:M$50)</f>
        <v>177</v>
      </c>
      <c r="AH16" s="3" t="s">
        <v>6</v>
      </c>
      <c r="AI16" s="63">
        <f>AG16*IF(AH16="G", 450, IF(AH16="D", 350, 0)) * IF(AF16="Y", 1.2, 1)*(INDEX(屬性克制表!$B$2:$T$20, MATCH(AE16, 屬性克制表!$A$2:$A$20, 0), MATCH($L$1, 屬性克制表!$B$1:$T$1, 0)) * INDEX(屬性克制表!$B$2:$T$20, MATCH(AE16, 屬性克制表!$A$2:$A$20, 0), MATCH($M$1, 屬性克制表!$B$1:$T$1, 0)))</f>
        <v>46462.5</v>
      </c>
      <c r="AK16" s="48" t="s">
        <v>60</v>
      </c>
      <c r="AL16" s="66">
        <f>AB16/(INDEX(屬性克制表!$B$2:$T$20, MATCH($A$1, 屬性克制表!$A$2:$A$20, 0), MATCH(Z16, 屬性克制表!$B$1:$T$1, 0)) * INDEX(屬性克制表!$B$2:$T$20, MATCH($A$1, 屬性克制表!$A$2:$A$20, 0), MATCH(AA16, 屬性克制表!$B$1:$T$1, 0)))</f>
        <v>16.434999999999999</v>
      </c>
      <c r="AM16" s="48" t="s">
        <v>60</v>
      </c>
      <c r="AN16" s="56">
        <f>AB16/(INDEX(屬性克制表!$B$2:$T$20, MATCH($C$1, 屬性克制表!$A$2:$A$20, 0), MATCH(Z16, 屬性克制表!$B$1:$T$1, 0)) * INDEX(屬性克制表!$B$2:$T$20, MATCH($C$1, 屬性克制表!$A$2:$A$20, 0), MATCH(AA16, 屬性克制表!$B$1:$T$1, 0)))</f>
        <v>26.295999999999999</v>
      </c>
      <c r="AO16" s="48" t="s">
        <v>60</v>
      </c>
      <c r="AP16" s="56">
        <f>AB16/(INDEX(屬性克制表!$B$2:$T$20, MATCH($E$1, 屬性克制表!$A$2:$A$20, 0), MATCH(Z16, 屬性克制表!$B$1:$T$1, 0)) * INDEX(屬性克制表!$B$2:$T$20, MATCH($E$1, 屬性克制表!$A$2:$A$20, 0), MATCH(AA16, 屬性克制表!$B$1:$T$1, 0)))</f>
        <v>26.295999999999999</v>
      </c>
      <c r="AQ16" s="48" t="s">
        <v>60</v>
      </c>
      <c r="AR16" s="56">
        <f>AB16/(INDEX(屬性克制表!$B$2:$T$20, MATCH($G$1, 屬性克制表!$A$2:$A$20, 0), MATCH(Z16, 屬性克制表!$B$1:$T$1, 0)) * INDEX(屬性克制表!$B$2:$T$20, MATCH($G$1, 屬性克制表!$A$2:$A$20, 0), MATCH(AA16, 屬性克制表!$B$1:$T$1, 0)))</f>
        <v>26.295999999999999</v>
      </c>
    </row>
    <row r="17" spans="1:44">
      <c r="A17" s="73" t="str">
        <v>月亮伊布</v>
      </c>
      <c r="B17" s="75">
        <v>36.764000000000003</v>
      </c>
      <c r="C17" s="73" t="str">
        <v>超級巨伊布</v>
      </c>
      <c r="D17" s="75">
        <v>33.130434782608695</v>
      </c>
      <c r="E17" s="73" t="str">
        <v>妙蛙花</v>
      </c>
      <c r="F17" s="75">
        <v>37.9392</v>
      </c>
      <c r="G17" s="73" t="str">
        <v>超極巨灰塵山</v>
      </c>
      <c r="H17" s="75">
        <v>35.839999999999996</v>
      </c>
      <c r="I17" s="68"/>
      <c r="J17" s="48" t="str">
        <v>烏賊王</v>
      </c>
      <c r="K17" s="48" t="str">
        <v>飛行</v>
      </c>
      <c r="L17" s="48" t="str">
        <v>N</v>
      </c>
      <c r="M17" s="48">
        <v>151</v>
      </c>
      <c r="N17" s="48" t="str">
        <v>D</v>
      </c>
      <c r="O17" s="71">
        <v>135296.00000000003</v>
      </c>
      <c r="P17" s="83">
        <f t="shared" si="0"/>
        <v>0.6198686371100165</v>
      </c>
      <c r="Q17" s="63"/>
      <c r="R17" s="63"/>
      <c r="S17" s="63"/>
      <c r="T17" s="63"/>
      <c r="U17" s="63"/>
      <c r="V17" s="63"/>
      <c r="W17" s="63"/>
      <c r="Y17" s="47" t="s">
        <v>67</v>
      </c>
      <c r="Z17" s="48" t="s">
        <v>74</v>
      </c>
      <c r="AA17" s="48" t="s">
        <v>118</v>
      </c>
      <c r="AB17" s="51">
        <f>數據!P16</f>
        <v>29.295000000000002</v>
      </c>
      <c r="AC17" s="78">
        <f>數據!P16</f>
        <v>29.295000000000002</v>
      </c>
      <c r="AD17" s="3" t="s">
        <v>33</v>
      </c>
      <c r="AE17" s="3" t="s">
        <v>35</v>
      </c>
      <c r="AF17" s="3" t="s">
        <v>130</v>
      </c>
      <c r="AG17" s="3">
        <f>_xlfn.XLOOKUP(AD17, 數據!B$2:B$50, 數據!M$2:M$50)</f>
        <v>159</v>
      </c>
      <c r="AH17" s="3" t="s">
        <v>6</v>
      </c>
      <c r="AI17" s="63">
        <f>AG17*IF(AH17="G", 450, IF(AH17="D", 350, 0)) * IF(AF17="Y", 1.2, 1)*(INDEX(屬性克制表!$B$2:$T$20, MATCH(AE17, 屬性克制表!$A$2:$A$20, 0), MATCH($L$1, 屬性克制表!$B$1:$T$1, 0)) * INDEX(屬性克制表!$B$2:$T$20, MATCH(AE17, 屬性克制表!$A$2:$A$20, 0), MATCH($M$1, 屬性克制表!$B$1:$T$1, 0)))</f>
        <v>41737.5</v>
      </c>
      <c r="AK17" s="47" t="s">
        <v>67</v>
      </c>
      <c r="AL17" s="66">
        <f>AB17/(INDEX(屬性克制表!$B$2:$T$20, MATCH($A$1, 屬性克制表!$A$2:$A$20, 0), MATCH(Z17, 屬性克制表!$B$1:$T$1, 0)) * INDEX(屬性克制表!$B$2:$T$20, MATCH($A$1, 屬性克制表!$A$2:$A$20, 0), MATCH(AA17, 屬性克制表!$B$1:$T$1, 0)))</f>
        <v>29.295000000000002</v>
      </c>
      <c r="AM17" s="47" t="s">
        <v>67</v>
      </c>
      <c r="AN17" s="56">
        <f>AB17/(INDEX(屬性克制表!$B$2:$T$20, MATCH($C$1, 屬性克制表!$A$2:$A$20, 0), MATCH(Z17, 屬性克制表!$B$1:$T$1, 0)) * INDEX(屬性克制表!$B$2:$T$20, MATCH($C$1, 屬性克制表!$A$2:$A$20, 0), MATCH(AA17, 屬性克制表!$B$1:$T$1, 0)))</f>
        <v>74.923273657289002</v>
      </c>
      <c r="AO17" s="47" t="s">
        <v>67</v>
      </c>
      <c r="AP17" s="56">
        <f>AB17/(INDEX(屬性克制表!$B$2:$T$20, MATCH($E$1, 屬性克制表!$A$2:$A$20, 0), MATCH(Z17, 屬性克制表!$B$1:$T$1, 0)) * INDEX(屬性克制表!$B$2:$T$20, MATCH($E$1, 屬性克制表!$A$2:$A$20, 0), MATCH(AA17, 屬性克制表!$B$1:$T$1, 0)))</f>
        <v>29.295000000000002</v>
      </c>
      <c r="AQ17" s="47" t="s">
        <v>67</v>
      </c>
      <c r="AR17" s="56">
        <f>AB17/(INDEX(屬性克制表!$B$2:$T$20, MATCH($G$1, 屬性克制表!$A$2:$A$20, 0), MATCH(Z17, 屬性克制表!$B$1:$T$1, 0)) * INDEX(屬性克制表!$B$2:$T$20, MATCH($G$1, 屬性克制表!$A$2:$A$20, 0), MATCH(AA17, 屬性克制表!$B$1:$T$1, 0)))</f>
        <v>29.295000000000002</v>
      </c>
    </row>
    <row r="18" spans="1:44">
      <c r="A18" s="73" t="str">
        <v>吼鯨王</v>
      </c>
      <c r="B18" s="75">
        <v>36.607999999999997</v>
      </c>
      <c r="C18" s="73" t="str">
        <v>水伊布</v>
      </c>
      <c r="D18" s="75">
        <v>31.97</v>
      </c>
      <c r="E18" s="73" t="str">
        <v>鋁鋼龍</v>
      </c>
      <c r="F18" s="75">
        <v>37.1616</v>
      </c>
      <c r="G18" s="73" t="str">
        <v>水君</v>
      </c>
      <c r="H18" s="75">
        <v>34.58</v>
      </c>
      <c r="I18" s="68"/>
      <c r="J18" s="48" t="str">
        <v>火焰鳥</v>
      </c>
      <c r="K18" s="48" t="str">
        <v>火</v>
      </c>
      <c r="L18" s="48" t="str">
        <v>Y</v>
      </c>
      <c r="M18" s="48">
        <v>200</v>
      </c>
      <c r="N18" s="48" t="str">
        <v>D</v>
      </c>
      <c r="O18" s="71">
        <v>134400</v>
      </c>
      <c r="P18" s="83">
        <f t="shared" si="0"/>
        <v>0.61576354679802947</v>
      </c>
      <c r="Q18" s="63"/>
      <c r="R18" s="63"/>
      <c r="S18" s="63"/>
      <c r="T18" s="63"/>
      <c r="U18" s="63"/>
      <c r="V18" s="63"/>
      <c r="W18" s="63"/>
      <c r="Y18" s="48" t="s">
        <v>64</v>
      </c>
      <c r="Z18" s="48" t="s">
        <v>77</v>
      </c>
      <c r="AA18" s="48" t="s">
        <v>118</v>
      </c>
      <c r="AB18" s="51">
        <f>數據!P17</f>
        <v>27.37</v>
      </c>
      <c r="AC18" s="78">
        <f>數據!P17</f>
        <v>27.37</v>
      </c>
      <c r="AD18" s="3" t="s">
        <v>69</v>
      </c>
      <c r="AE18" s="3" t="s">
        <v>70</v>
      </c>
      <c r="AF18" s="3" t="s">
        <v>130</v>
      </c>
      <c r="AG18" s="3">
        <f>_xlfn.XLOOKUP(AD18, 數據!B$2:B$50, 數據!M$2:M$50)</f>
        <v>160</v>
      </c>
      <c r="AH18" s="3" t="s">
        <v>6</v>
      </c>
      <c r="AI18" s="63">
        <f>AG18*IF(AH18="G", 450, IF(AH18="D", 350, 0)) * IF(AF18="Y", 1.2, 1)*(INDEX(屬性克制表!$B$2:$T$20, MATCH(AE18, 屬性克制表!$A$2:$A$20, 0), MATCH($L$1, 屬性克制表!$B$1:$T$1, 0)) * INDEX(屬性克制表!$B$2:$T$20, MATCH(AE18, 屬性克制表!$A$2:$A$20, 0), MATCH($M$1, 屬性克制表!$B$1:$T$1, 0)))</f>
        <v>67200</v>
      </c>
      <c r="AK18" s="48" t="s">
        <v>64</v>
      </c>
      <c r="AL18" s="66">
        <f>AB18/(INDEX(屬性克制表!$B$2:$T$20, MATCH($A$1, 屬性克制表!$A$2:$A$20, 0), MATCH(Z18, 屬性克制表!$B$1:$T$1, 0)) * INDEX(屬性克制表!$B$2:$T$20, MATCH($A$1, 屬性克制表!$A$2:$A$20, 0), MATCH(AA18, 屬性克制表!$B$1:$T$1, 0)))</f>
        <v>27.37</v>
      </c>
      <c r="AM18" s="48" t="s">
        <v>64</v>
      </c>
      <c r="AN18" s="56">
        <f>AB18/(INDEX(屬性克制表!$B$2:$T$20, MATCH($C$1, 屬性克制表!$A$2:$A$20, 0), MATCH(Z18, 屬性克制表!$B$1:$T$1, 0)) * INDEX(屬性克制表!$B$2:$T$20, MATCH($C$1, 屬性克制表!$A$2:$A$20, 0), MATCH(AA18, 屬性克制表!$B$1:$T$1, 0)))</f>
        <v>27.37</v>
      </c>
      <c r="AO18" s="48" t="s">
        <v>64</v>
      </c>
      <c r="AP18" s="56">
        <f>AB18/(INDEX(屬性克制表!$B$2:$T$20, MATCH($E$1, 屬性克制表!$A$2:$A$20, 0), MATCH(Z18, 屬性克制表!$B$1:$T$1, 0)) * INDEX(屬性克制表!$B$2:$T$20, MATCH($E$1, 屬性克制表!$A$2:$A$20, 0), MATCH(AA18, 屬性克制表!$B$1:$T$1, 0)))</f>
        <v>27.37</v>
      </c>
      <c r="AQ18" s="48" t="s">
        <v>64</v>
      </c>
      <c r="AR18" s="56">
        <f>AB18/(INDEX(屬性克制表!$B$2:$T$20, MATCH($G$1, 屬性克制表!$A$2:$A$20, 0), MATCH(Z18, 屬性克制表!$B$1:$T$1, 0)) * INDEX(屬性克制表!$B$2:$T$20, MATCH($G$1, 屬性克制表!$A$2:$A$20, 0), MATCH(AA18, 屬性克制表!$B$1:$T$1, 0)))</f>
        <v>27.37</v>
      </c>
    </row>
    <row r="19" spans="1:44">
      <c r="A19" s="73" t="str">
        <v>噴火龍</v>
      </c>
      <c r="B19" s="75">
        <v>36.192</v>
      </c>
      <c r="C19" s="73" t="str">
        <v>洛奇亞</v>
      </c>
      <c r="D19" s="75">
        <v>31.643124999999998</v>
      </c>
      <c r="E19" s="73" t="str">
        <v>蒼響</v>
      </c>
      <c r="F19" s="75">
        <v>36.848999999999997</v>
      </c>
      <c r="G19" s="73" t="str">
        <v>火伊布</v>
      </c>
      <c r="H19" s="75">
        <v>34.272000000000006</v>
      </c>
      <c r="I19" s="68"/>
      <c r="J19" s="48" t="str">
        <v>冰伊布</v>
      </c>
      <c r="K19" s="48" t="str">
        <v>冰</v>
      </c>
      <c r="L19" s="48" t="str">
        <v>Y</v>
      </c>
      <c r="M19" s="48">
        <v>200</v>
      </c>
      <c r="N19" s="48" t="str">
        <v>D</v>
      </c>
      <c r="O19" s="71">
        <v>134400</v>
      </c>
      <c r="P19" s="83">
        <f t="shared" si="0"/>
        <v>0.61576354679802947</v>
      </c>
      <c r="Q19" s="63"/>
      <c r="R19" s="63"/>
      <c r="S19" s="63"/>
      <c r="T19" s="63"/>
      <c r="U19" s="63"/>
      <c r="V19" s="63"/>
      <c r="W19" s="63"/>
      <c r="Y19" s="48" t="s">
        <v>18</v>
      </c>
      <c r="Z19" s="48" t="s">
        <v>94</v>
      </c>
      <c r="AA19" s="48" t="s">
        <v>36</v>
      </c>
      <c r="AB19" s="51">
        <f>數據!P18</f>
        <v>28.2</v>
      </c>
      <c r="AC19" s="78">
        <f>數據!P11</f>
        <v>27.808</v>
      </c>
      <c r="AD19" s="4" t="s">
        <v>1</v>
      </c>
      <c r="AE19" s="3" t="s">
        <v>100</v>
      </c>
      <c r="AF19" s="3" t="s">
        <v>130</v>
      </c>
      <c r="AG19" s="3">
        <f>_xlfn.XLOOKUP(AD19, 數據!B$2:B$50, 數據!M$2:M$50)</f>
        <v>205</v>
      </c>
      <c r="AH19" s="7" t="s">
        <v>5</v>
      </c>
      <c r="AI19" s="63">
        <f>AG19*IF(AH19="G", 450, IF(AH19="D", 350, 0)) * IF(AF19="Y", 1.2, 1)*(INDEX(屬性克制表!$B$2:$T$20, MATCH(AE19, 屬性克制表!$A$2:$A$20, 0), MATCH($L$1, 屬性克制表!$B$1:$T$1, 0)) * INDEX(屬性克制表!$B$2:$T$20, MATCH(AE19, 屬性克制表!$A$2:$A$20, 0), MATCH($M$1, 屬性克制表!$B$1:$T$1, 0)))</f>
        <v>177120</v>
      </c>
      <c r="AK19" s="48" t="s">
        <v>18</v>
      </c>
      <c r="AL19" s="66">
        <f>AB19/(INDEX(屬性克制表!$B$2:$T$20, MATCH($A$1, 屬性克制表!$A$2:$A$20, 0), MATCH(Z19, 屬性克制表!$B$1:$T$1, 0)) * INDEX(屬性克制表!$B$2:$T$20, MATCH($A$1, 屬性克制表!$A$2:$A$20, 0), MATCH(AA19, 屬性克制表!$B$1:$T$1, 0)))</f>
        <v>45.12</v>
      </c>
      <c r="AM19" s="48" t="s">
        <v>18</v>
      </c>
      <c r="AN19" s="56">
        <f>AB19/(INDEX(屬性克制表!$B$2:$T$20, MATCH($C$1, 屬性克制表!$A$2:$A$20, 0), MATCH(Z19, 屬性克制表!$B$1:$T$1, 0)) * INDEX(屬性克制表!$B$2:$T$20, MATCH($C$1, 屬性克制表!$A$2:$A$20, 0), MATCH(AA19, 屬性克制表!$B$1:$T$1, 0)))</f>
        <v>28.2</v>
      </c>
      <c r="AO19" s="48" t="s">
        <v>18</v>
      </c>
      <c r="AP19" s="56">
        <f>AB19/(INDEX(屬性克制表!$B$2:$T$20, MATCH($E$1, 屬性克制表!$A$2:$A$20, 0), MATCH(Z19, 屬性克制表!$B$1:$T$1, 0)) * INDEX(屬性克制表!$B$2:$T$20, MATCH($E$1, 屬性克制表!$A$2:$A$20, 0), MATCH(AA19, 屬性克制表!$B$1:$T$1, 0)))</f>
        <v>45.12</v>
      </c>
      <c r="AQ19" s="48" t="s">
        <v>18</v>
      </c>
      <c r="AR19" s="56">
        <f>AB19/(INDEX(屬性克制表!$B$2:$T$20, MATCH($G$1, 屬性克制表!$A$2:$A$20, 0), MATCH(Z19, 屬性克制表!$B$1:$T$1, 0)) * INDEX(屬性克制表!$B$2:$T$20, MATCH($G$1, 屬性克制表!$A$2:$A$20, 0), MATCH(AA19, 屬性克制表!$B$1:$T$1, 0)))</f>
        <v>28.2</v>
      </c>
    </row>
    <row r="20" spans="1:44">
      <c r="A20" s="73" t="str">
        <v>拉帝亞斯</v>
      </c>
      <c r="B20" s="75">
        <v>35.692799999999998</v>
      </c>
      <c r="C20" s="73" t="str">
        <v>仙子伊布</v>
      </c>
      <c r="D20" s="75">
        <v>31.486000000000001</v>
      </c>
      <c r="E20" s="73" t="str">
        <v>月亮伊布</v>
      </c>
      <c r="F20" s="75">
        <v>36.764000000000003</v>
      </c>
      <c r="G20" s="73" t="str">
        <v>拉普拉斯</v>
      </c>
      <c r="H20" s="75">
        <v>33.81</v>
      </c>
      <c r="I20" s="68"/>
      <c r="J20" s="48" t="str">
        <v>超極巨灰塵山</v>
      </c>
      <c r="K20" s="48" t="str">
        <v>毒</v>
      </c>
      <c r="L20" s="48" t="str">
        <v>Y</v>
      </c>
      <c r="M20" s="48">
        <v>155</v>
      </c>
      <c r="N20" s="48" t="str">
        <v>G</v>
      </c>
      <c r="O20" s="71">
        <v>133920</v>
      </c>
      <c r="P20" s="83">
        <f t="shared" si="0"/>
        <v>0.61356439127375073</v>
      </c>
      <c r="Q20" s="63"/>
      <c r="R20" s="63"/>
      <c r="S20" s="63"/>
      <c r="T20" s="63"/>
      <c r="U20" s="63"/>
      <c r="V20" s="63"/>
      <c r="W20" s="63"/>
      <c r="Y20" s="48" t="s">
        <v>90</v>
      </c>
      <c r="Z20" s="48" t="s">
        <v>94</v>
      </c>
      <c r="AA20" s="48" t="s">
        <v>37</v>
      </c>
      <c r="AB20" s="51">
        <f>數據!P19</f>
        <v>28.2</v>
      </c>
      <c r="AC20" s="78">
        <f>數據!P18</f>
        <v>28.2</v>
      </c>
      <c r="AD20" s="3" t="s">
        <v>54</v>
      </c>
      <c r="AE20" s="3" t="s">
        <v>70</v>
      </c>
      <c r="AF20" s="3" t="s">
        <v>131</v>
      </c>
      <c r="AG20" s="3">
        <f>_xlfn.XLOOKUP(AD20, 數據!B$2:B$50, 數據!M$2:M$50)</f>
        <v>185</v>
      </c>
      <c r="AH20" s="3" t="s">
        <v>6</v>
      </c>
      <c r="AI20" s="63">
        <f>AG20*IF(AH20="G", 450, IF(AH20="D", 350, 0)) * IF(AF20="Y", 1.2, 1)*(INDEX(屬性克制表!$B$2:$T$20, MATCH(AE20, 屬性克制表!$A$2:$A$20, 0), MATCH($L$1, 屬性克制表!$B$1:$T$1, 0)) * INDEX(屬性克制表!$B$2:$T$20, MATCH(AE20, 屬性克制表!$A$2:$A$20, 0), MATCH($M$1, 屬性克制表!$B$1:$T$1, 0)))</f>
        <v>64750</v>
      </c>
      <c r="AK20" s="48" t="s">
        <v>90</v>
      </c>
      <c r="AL20" s="66">
        <f>AB20/(INDEX(屬性克制表!$B$2:$T$20, MATCH($A$1, 屬性克制表!$A$2:$A$20, 0), MATCH(Z20, 屬性克制表!$B$1:$T$1, 0)) * INDEX(屬性克制表!$B$2:$T$20, MATCH($A$1, 屬性克制表!$A$2:$A$20, 0), MATCH(AA20, 屬性克制表!$B$1:$T$1, 0)))</f>
        <v>28.2</v>
      </c>
      <c r="AM20" s="48" t="s">
        <v>90</v>
      </c>
      <c r="AN20" s="56">
        <f>AB20/(INDEX(屬性克制表!$B$2:$T$20, MATCH($C$1, 屬性克制表!$A$2:$A$20, 0), MATCH(Z20, 屬性克制表!$B$1:$T$1, 0)) * INDEX(屬性克制表!$B$2:$T$20, MATCH($C$1, 屬性克制表!$A$2:$A$20, 0), MATCH(AA20, 屬性克制表!$B$1:$T$1, 0)))</f>
        <v>45.12</v>
      </c>
      <c r="AO20" s="48" t="s">
        <v>90</v>
      </c>
      <c r="AP20" s="56">
        <f>AB20/(INDEX(屬性克制表!$B$2:$T$20, MATCH($E$1, 屬性克制表!$A$2:$A$20, 0), MATCH(Z20, 屬性克制表!$B$1:$T$1, 0)) * INDEX(屬性克制表!$B$2:$T$20, MATCH($E$1, 屬性克制表!$A$2:$A$20, 0), MATCH(AA20, 屬性克制表!$B$1:$T$1, 0)))</f>
        <v>28.2</v>
      </c>
      <c r="AQ20" s="48" t="s">
        <v>90</v>
      </c>
      <c r="AR20" s="56">
        <f>AB20/(INDEX(屬性克制表!$B$2:$T$20, MATCH($G$1, 屬性克制表!$A$2:$A$20, 0), MATCH(Z20, 屬性克制表!$B$1:$T$1, 0)) * INDEX(屬性克制表!$B$2:$T$20, MATCH($G$1, 屬性克制表!$A$2:$A$20, 0), MATCH(AA20, 屬性克制表!$B$1:$T$1, 0)))</f>
        <v>17.625</v>
      </c>
    </row>
    <row r="21" spans="1:44">
      <c r="A21" s="73" t="str">
        <v>老翁龍</v>
      </c>
      <c r="B21" s="75">
        <v>35.644799999999996</v>
      </c>
      <c r="C21" s="73" t="str">
        <v>鋼鎧鴉</v>
      </c>
      <c r="D21" s="75">
        <v>31.35</v>
      </c>
      <c r="E21" s="73" t="str">
        <v>吼鯨王</v>
      </c>
      <c r="F21" s="75">
        <v>36.607999999999997</v>
      </c>
      <c r="G21" s="73" t="str">
        <v>卡比獸</v>
      </c>
      <c r="H21" s="75">
        <v>33.768000000000001</v>
      </c>
      <c r="I21" s="68"/>
      <c r="J21" s="48" t="str">
        <v>沙奈朵</v>
      </c>
      <c r="K21" s="48" t="str">
        <v>超能力</v>
      </c>
      <c r="L21" s="48" t="str">
        <v>Y</v>
      </c>
      <c r="M21" s="48">
        <v>199</v>
      </c>
      <c r="N21" s="48" t="str">
        <v>D</v>
      </c>
      <c r="O21" s="71">
        <v>133728</v>
      </c>
      <c r="P21" s="83">
        <f t="shared" si="0"/>
        <v>0.61268472906403926</v>
      </c>
      <c r="Q21" s="63"/>
      <c r="R21" s="63"/>
      <c r="S21" s="63"/>
      <c r="T21" s="63"/>
      <c r="U21" s="63"/>
      <c r="V21" s="63"/>
      <c r="W21" s="63"/>
      <c r="Y21" s="48" t="s">
        <v>25</v>
      </c>
      <c r="Z21" s="48" t="s">
        <v>36</v>
      </c>
      <c r="AA21" s="48" t="s">
        <v>118</v>
      </c>
      <c r="AB21" s="51">
        <f>數據!P20</f>
        <v>27.824999999999999</v>
      </c>
      <c r="AC21" s="78">
        <f>數據!P19</f>
        <v>28.2</v>
      </c>
      <c r="AD21" s="4" t="s">
        <v>0</v>
      </c>
      <c r="AE21" s="3" t="s">
        <v>100</v>
      </c>
      <c r="AF21" s="3" t="s">
        <v>130</v>
      </c>
      <c r="AG21" s="3">
        <f>_xlfn.XLOOKUP(AD21, 數據!B$2:B$50, 數據!M$2:M$50)</f>
        <v>187</v>
      </c>
      <c r="AH21" s="7" t="s">
        <v>5</v>
      </c>
      <c r="AI21" s="63">
        <f>AG21*IF(AH21="G", 450, IF(AH21="D", 350, 0)) * IF(AF21="Y", 1.2, 1)*(INDEX(屬性克制表!$B$2:$T$20, MATCH(AE21, 屬性克制表!$A$2:$A$20, 0), MATCH($L$1, 屬性克制表!$B$1:$T$1, 0)) * INDEX(屬性克制表!$B$2:$T$20, MATCH(AE21, 屬性克制表!$A$2:$A$20, 0), MATCH($M$1, 屬性克制表!$B$1:$T$1, 0)))</f>
        <v>161568</v>
      </c>
      <c r="AK21" s="48" t="s">
        <v>25</v>
      </c>
      <c r="AL21" s="66">
        <f>AB21/(INDEX(屬性克制表!$B$2:$T$20, MATCH($A$1, 屬性克制表!$A$2:$A$20, 0), MATCH(Z21, 屬性克制表!$B$1:$T$1, 0)) * INDEX(屬性克制表!$B$2:$T$20, MATCH($A$1, 屬性克制表!$A$2:$A$20, 0), MATCH(AA21, 屬性克制表!$B$1:$T$1, 0)))</f>
        <v>44.519999999999996</v>
      </c>
      <c r="AM21" s="48" t="s">
        <v>25</v>
      </c>
      <c r="AN21" s="56">
        <f>AB21/(INDEX(屬性克制表!$B$2:$T$20, MATCH($C$1, 屬性克制表!$A$2:$A$20, 0), MATCH(Z21, 屬性克制表!$B$1:$T$1, 0)) * INDEX(屬性克制表!$B$2:$T$20, MATCH($C$1, 屬性克制表!$A$2:$A$20, 0), MATCH(AA21, 屬性克制表!$B$1:$T$1, 0)))</f>
        <v>27.824999999999999</v>
      </c>
      <c r="AO21" s="48" t="s">
        <v>25</v>
      </c>
      <c r="AP21" s="56">
        <f>AB21/(INDEX(屬性克制表!$B$2:$T$20, MATCH($E$1, 屬性克制表!$A$2:$A$20, 0), MATCH(Z21, 屬性克制表!$B$1:$T$1, 0)) * INDEX(屬性克制表!$B$2:$T$20, MATCH($E$1, 屬性克制表!$A$2:$A$20, 0), MATCH(AA21, 屬性克制表!$B$1:$T$1, 0)))</f>
        <v>44.519999999999996</v>
      </c>
      <c r="AQ21" s="48" t="s">
        <v>25</v>
      </c>
      <c r="AR21" s="56">
        <f>AB21/(INDEX(屬性克制表!$B$2:$T$20, MATCH($G$1, 屬性克制表!$A$2:$A$20, 0), MATCH(Z21, 屬性克制表!$B$1:$T$1, 0)) * INDEX(屬性克制表!$B$2:$T$20, MATCH($G$1, 屬性克制表!$A$2:$A$20, 0), MATCH(AA21, 屬性克制表!$B$1:$T$1, 0)))</f>
        <v>27.824999999999999</v>
      </c>
    </row>
    <row r="22" spans="1:44">
      <c r="A22" s="73" t="str">
        <v>火伊布</v>
      </c>
      <c r="B22" s="75">
        <v>34.272000000000006</v>
      </c>
      <c r="C22" s="73" t="str">
        <v>帝牙海獅</v>
      </c>
      <c r="D22" s="75">
        <v>30.652999999999999</v>
      </c>
      <c r="E22" s="73" t="str">
        <v>拉帝亞斯</v>
      </c>
      <c r="F22" s="75">
        <v>35.692799999999998</v>
      </c>
      <c r="G22" s="73" t="str">
        <v>壺壺</v>
      </c>
      <c r="H22" s="75">
        <v>33.659999999999997</v>
      </c>
      <c r="I22" s="68"/>
      <c r="J22" s="48" t="str">
        <v>艾路雷朵</v>
      </c>
      <c r="K22" s="48" t="str">
        <v>超能力</v>
      </c>
      <c r="L22" s="48" t="str">
        <v>Y</v>
      </c>
      <c r="M22" s="48">
        <v>199</v>
      </c>
      <c r="N22" s="48" t="str">
        <v>D</v>
      </c>
      <c r="O22" s="71">
        <v>133728</v>
      </c>
      <c r="P22" s="83">
        <f t="shared" si="0"/>
        <v>0.61268472906403926</v>
      </c>
      <c r="Q22" s="63"/>
      <c r="R22" s="63"/>
      <c r="S22" s="63"/>
      <c r="T22" s="63"/>
      <c r="U22" s="63"/>
      <c r="V22" s="63"/>
      <c r="W22" s="63"/>
      <c r="Y22" s="48" t="s">
        <v>56</v>
      </c>
      <c r="Z22" s="48" t="s">
        <v>77</v>
      </c>
      <c r="AA22" s="48" t="s">
        <v>43</v>
      </c>
      <c r="AB22" s="51">
        <f>數據!P21</f>
        <v>25.367999999999999</v>
      </c>
      <c r="AC22" s="78">
        <f>數據!P20</f>
        <v>27.824999999999999</v>
      </c>
      <c r="AD22" s="7" t="s">
        <v>133</v>
      </c>
      <c r="AE22" s="4" t="s">
        <v>45</v>
      </c>
      <c r="AF22" s="4" t="s">
        <v>130</v>
      </c>
      <c r="AG22" s="3">
        <f>_xlfn.XLOOKUP(AD22, 數據!B$2:B$50, 數據!M$2:M$50)</f>
        <v>231</v>
      </c>
      <c r="AH22" s="3" t="s">
        <v>5</v>
      </c>
      <c r="AI22" s="63">
        <f>AG22*IF(AH22="G", 450, IF(AH22="D", 350, 0)) * IF(AF22="Y", 1.2, 1)*(INDEX(屬性克制表!$B$2:$T$20, MATCH(AE22, 屬性克制表!$A$2:$A$20, 0), MATCH($L$1, 屬性克制表!$B$1:$T$1, 0)) * INDEX(屬性克制表!$B$2:$T$20, MATCH(AE22, 屬性克制表!$A$2:$A$20, 0), MATCH($M$1, 屬性克制表!$B$1:$T$1, 0)))</f>
        <v>124740</v>
      </c>
      <c r="AK22" s="48" t="s">
        <v>56</v>
      </c>
      <c r="AL22" s="66">
        <f>AB22/(INDEX(屬性克制表!$B$2:$T$20, MATCH($A$1, 屬性克制表!$A$2:$A$20, 0), MATCH(Z22, 屬性克制表!$B$1:$T$1, 0)) * INDEX(屬性克制表!$B$2:$T$20, MATCH($A$1, 屬性克制表!$A$2:$A$20, 0), MATCH(AA22, 屬性克制表!$B$1:$T$1, 0)))</f>
        <v>25.367999999999999</v>
      </c>
      <c r="AM22" s="48" t="s">
        <v>56</v>
      </c>
      <c r="AN22" s="56">
        <f>AB22/(INDEX(屬性克制表!$B$2:$T$20, MATCH($C$1, 屬性克制表!$A$2:$A$20, 0), MATCH(Z22, 屬性克制表!$B$1:$T$1, 0)) * INDEX(屬性克制表!$B$2:$T$20, MATCH($C$1, 屬性克制表!$A$2:$A$20, 0), MATCH(AA22, 屬性克制表!$B$1:$T$1, 0)))</f>
        <v>25.367999999999999</v>
      </c>
      <c r="AO22" s="48" t="s">
        <v>56</v>
      </c>
      <c r="AP22" s="56">
        <f>AB22/(INDEX(屬性克制表!$B$2:$T$20, MATCH($E$1, 屬性克制表!$A$2:$A$20, 0), MATCH(Z22, 屬性克制表!$B$1:$T$1, 0)) * INDEX(屬性克制表!$B$2:$T$20, MATCH($E$1, 屬性克制表!$A$2:$A$20, 0), MATCH(AA22, 屬性克制表!$B$1:$T$1, 0)))</f>
        <v>25.367999999999999</v>
      </c>
      <c r="AQ22" s="48" t="s">
        <v>56</v>
      </c>
      <c r="AR22" s="56">
        <f>AB22/(INDEX(屬性克制表!$B$2:$T$20, MATCH($G$1, 屬性克制表!$A$2:$A$20, 0), MATCH(Z22, 屬性克制表!$B$1:$T$1, 0)) * INDEX(屬性克制表!$B$2:$T$20, MATCH($G$1, 屬性克制表!$A$2:$A$20, 0), MATCH(AA22, 屬性克制表!$B$1:$T$1, 0)))</f>
        <v>25.367999999999999</v>
      </c>
    </row>
    <row r="23" spans="1:44">
      <c r="A23" s="73" t="str">
        <v>拉普拉斯</v>
      </c>
      <c r="B23" s="75">
        <v>33.81</v>
      </c>
      <c r="C23" s="73" t="str">
        <v>急凍鳥</v>
      </c>
      <c r="D23" s="75">
        <v>30.504000000000001</v>
      </c>
      <c r="E23" s="73" t="str">
        <v>老翁龍</v>
      </c>
      <c r="F23" s="75">
        <v>35.644799999999996</v>
      </c>
      <c r="G23" s="73" t="str">
        <v>水伊布</v>
      </c>
      <c r="H23" s="75">
        <v>31.97</v>
      </c>
      <c r="I23" s="68"/>
      <c r="J23" s="48" t="str">
        <v>布莉姆溫</v>
      </c>
      <c r="K23" s="48" t="str">
        <v>超能力</v>
      </c>
      <c r="L23" s="48" t="str">
        <v>Y</v>
      </c>
      <c r="M23" s="48">
        <v>198</v>
      </c>
      <c r="N23" s="48" t="str">
        <v>D</v>
      </c>
      <c r="O23" s="71">
        <v>133056</v>
      </c>
      <c r="P23" s="83">
        <f t="shared" si="0"/>
        <v>0.60960591133004915</v>
      </c>
      <c r="Q23" s="63"/>
      <c r="R23" s="63"/>
      <c r="S23" s="63"/>
      <c r="T23" s="63"/>
      <c r="U23" s="63"/>
      <c r="V23" s="63"/>
      <c r="W23" s="63"/>
      <c r="Y23" s="48" t="s">
        <v>91</v>
      </c>
      <c r="Z23" s="48" t="s">
        <v>35</v>
      </c>
      <c r="AA23" s="48" t="s">
        <v>118</v>
      </c>
      <c r="AB23" s="51">
        <f>數據!P22</f>
        <v>27.027000000000001</v>
      </c>
      <c r="AC23" s="78">
        <f>數據!P21</f>
        <v>25.367999999999999</v>
      </c>
      <c r="AD23" s="3" t="s">
        <v>81</v>
      </c>
      <c r="AE23" s="4" t="s">
        <v>97</v>
      </c>
      <c r="AF23" s="4" t="s">
        <v>130</v>
      </c>
      <c r="AG23" s="3">
        <f>_xlfn.XLOOKUP(AD23, 數據!B$2:B$50, 數據!M$2:M$50)</f>
        <v>221</v>
      </c>
      <c r="AH23" s="3" t="s">
        <v>6</v>
      </c>
      <c r="AI23" s="63">
        <f>AG23*IF(AH23="G", 450, IF(AH23="D", 350, 0)) * IF(AF23="Y", 1.2, 1)*(INDEX(屬性克制表!$B$2:$T$20, MATCH(AE23, 屬性克制表!$A$2:$A$20, 0), MATCH($L$1, 屬性克制表!$B$1:$T$1, 0)) * INDEX(屬性克制表!$B$2:$T$20, MATCH(AE23, 屬性克制表!$A$2:$A$20, 0), MATCH($M$1, 屬性克制表!$B$1:$T$1, 0)))</f>
        <v>148512</v>
      </c>
      <c r="AK23" s="48" t="s">
        <v>91</v>
      </c>
      <c r="AL23" s="66">
        <f>AB23/(INDEX(屬性克制表!$B$2:$T$20, MATCH($A$1, 屬性克制表!$A$2:$A$20, 0), MATCH(Z23, 屬性克制表!$B$1:$T$1, 0)) * INDEX(屬性克制表!$B$2:$T$20, MATCH($A$1, 屬性克制表!$A$2:$A$20, 0), MATCH(AA23, 屬性克制表!$B$1:$T$1, 0)))</f>
        <v>16.891874999999999</v>
      </c>
      <c r="AM23" s="48" t="s">
        <v>91</v>
      </c>
      <c r="AN23" s="56">
        <f>AB23/(INDEX(屬性克制表!$B$2:$T$20, MATCH($C$1, 屬性克制表!$A$2:$A$20, 0), MATCH(Z23, 屬性克制表!$B$1:$T$1, 0)) * INDEX(屬性克制表!$B$2:$T$20, MATCH($C$1, 屬性克制表!$A$2:$A$20, 0), MATCH(AA23, 屬性克制表!$B$1:$T$1, 0)))</f>
        <v>27.027000000000001</v>
      </c>
      <c r="AO23" s="48" t="s">
        <v>91</v>
      </c>
      <c r="AP23" s="56">
        <f>AB23/(INDEX(屬性克制表!$B$2:$T$20, MATCH($E$1, 屬性克制表!$A$2:$A$20, 0), MATCH(Z23, 屬性克制表!$B$1:$T$1, 0)) * INDEX(屬性克制表!$B$2:$T$20, MATCH($E$1, 屬性克制表!$A$2:$A$20, 0), MATCH(AA23, 屬性克制表!$B$1:$T$1, 0)))</f>
        <v>43.243200000000002</v>
      </c>
      <c r="AQ23" s="48" t="s">
        <v>91</v>
      </c>
      <c r="AR23" s="56">
        <f>AB23/(INDEX(屬性克制表!$B$2:$T$20, MATCH($G$1, 屬性克制表!$A$2:$A$20, 0), MATCH(Z23, 屬性克制表!$B$1:$T$1, 0)) * INDEX(屬性克制表!$B$2:$T$20, MATCH($G$1, 屬性克制表!$A$2:$A$20, 0), MATCH(AA23, 屬性克制表!$B$1:$T$1, 0)))</f>
        <v>27.027000000000001</v>
      </c>
    </row>
    <row r="24" spans="1:44">
      <c r="A24" s="73" t="str">
        <v>卡比獸</v>
      </c>
      <c r="B24" s="75">
        <v>33.768000000000001</v>
      </c>
      <c r="C24" s="73" t="str">
        <v>龐岩怪</v>
      </c>
      <c r="D24" s="75">
        <v>28.728000000000002</v>
      </c>
      <c r="E24" s="73" t="str">
        <v>卡比獸</v>
      </c>
      <c r="F24" s="75">
        <v>33.768000000000001</v>
      </c>
      <c r="G24" s="73" t="str">
        <v>仙子伊布</v>
      </c>
      <c r="H24" s="75">
        <v>31.486000000000001</v>
      </c>
      <c r="I24" s="68"/>
      <c r="J24" s="48" t="str">
        <v>戰弦蠑螈</v>
      </c>
      <c r="K24" s="48" t="str">
        <v>毒</v>
      </c>
      <c r="L24" s="48" t="str">
        <v>Y</v>
      </c>
      <c r="M24" s="48">
        <v>188</v>
      </c>
      <c r="N24" s="48" t="str">
        <v>D</v>
      </c>
      <c r="O24" s="71">
        <v>126336</v>
      </c>
      <c r="P24" s="83">
        <f t="shared" si="0"/>
        <v>0.57881773399014769</v>
      </c>
      <c r="Q24" s="63"/>
      <c r="R24" s="63"/>
      <c r="S24" s="63"/>
      <c r="T24" s="63"/>
      <c r="U24" s="63"/>
      <c r="V24" s="63"/>
      <c r="W24" s="63"/>
      <c r="Y24" s="48" t="s">
        <v>57</v>
      </c>
      <c r="Z24" s="48" t="s">
        <v>42</v>
      </c>
      <c r="AA24" s="48" t="s">
        <v>43</v>
      </c>
      <c r="AB24" s="51">
        <f>數據!P23</f>
        <v>23.797999999999998</v>
      </c>
      <c r="AC24" s="78">
        <f>數據!P22</f>
        <v>27.027000000000001</v>
      </c>
      <c r="AD24" s="3" t="s">
        <v>81</v>
      </c>
      <c r="AE24" s="4" t="s">
        <v>45</v>
      </c>
      <c r="AF24" s="4" t="s">
        <v>130</v>
      </c>
      <c r="AG24" s="3">
        <f>_xlfn.XLOOKUP(AD24, 數據!B$2:B$50, 數據!M$2:M$50)</f>
        <v>221</v>
      </c>
      <c r="AH24" s="3" t="s">
        <v>6</v>
      </c>
      <c r="AI24" s="63">
        <f>AG24*IF(AH24="G", 450, IF(AH24="D", 350, 0)) * IF(AF24="Y", 1.2, 1)*(INDEX(屬性克制表!$B$2:$T$20, MATCH(AE24, 屬性克制表!$A$2:$A$20, 0), MATCH($L$1, 屬性克制表!$B$1:$T$1, 0)) * INDEX(屬性克制表!$B$2:$T$20, MATCH(AE24, 屬性克制表!$A$2:$A$20, 0), MATCH($M$1, 屬性克制表!$B$1:$T$1, 0)))</f>
        <v>92820</v>
      </c>
      <c r="AK24" s="48" t="s">
        <v>57</v>
      </c>
      <c r="AL24" s="66">
        <f>AB24/(INDEX(屬性克制表!$B$2:$T$20, MATCH($A$1, 屬性克制表!$A$2:$A$20, 0), MATCH(Z24, 屬性克制表!$B$1:$T$1, 0)) * INDEX(屬性克制表!$B$2:$T$20, MATCH($A$1, 屬性克制表!$A$2:$A$20, 0), MATCH(AA24, 屬性克制表!$B$1:$T$1, 0)))</f>
        <v>38.076799999999999</v>
      </c>
      <c r="AM24" s="48" t="s">
        <v>57</v>
      </c>
      <c r="AN24" s="56">
        <f>AB24/(INDEX(屬性克制表!$B$2:$T$20, MATCH($C$1, 屬性克制表!$A$2:$A$20, 0), MATCH(Z24, 屬性克制表!$B$1:$T$1, 0)) * INDEX(屬性克制表!$B$2:$T$20, MATCH($C$1, 屬性克制表!$A$2:$A$20, 0), MATCH(AA24, 屬性克制表!$B$1:$T$1, 0)))</f>
        <v>23.797999999999998</v>
      </c>
      <c r="AO24" s="48" t="s">
        <v>57</v>
      </c>
      <c r="AP24" s="56">
        <f>AB24/(INDEX(屬性克制表!$B$2:$T$20, MATCH($E$1, 屬性克制表!$A$2:$A$20, 0), MATCH(Z24, 屬性克制表!$B$1:$T$1, 0)) * INDEX(屬性克制表!$B$2:$T$20, MATCH($E$1, 屬性克制表!$A$2:$A$20, 0), MATCH(AA24, 屬性克制表!$B$1:$T$1, 0)))</f>
        <v>14.873749999999998</v>
      </c>
      <c r="AQ24" s="48" t="s">
        <v>57</v>
      </c>
      <c r="AR24" s="56">
        <f>AB24/(INDEX(屬性克制表!$B$2:$T$20, MATCH($G$1, 屬性克制表!$A$2:$A$20, 0), MATCH(Z24, 屬性克制表!$B$1:$T$1, 0)) * INDEX(屬性克制表!$B$2:$T$20, MATCH($G$1, 屬性克制表!$A$2:$A$20, 0), MATCH(AA24, 屬性克制表!$B$1:$T$1, 0)))</f>
        <v>38.076799999999999</v>
      </c>
    </row>
    <row r="25" spans="1:44">
      <c r="A25" s="73" t="str">
        <v>壺壺</v>
      </c>
      <c r="B25" s="75">
        <v>33.659999999999997</v>
      </c>
      <c r="C25" s="73" t="str">
        <v>武道熊師(連)</v>
      </c>
      <c r="D25" s="75">
        <v>28.2</v>
      </c>
      <c r="E25" s="73" t="str">
        <v>仙子伊布</v>
      </c>
      <c r="F25" s="75">
        <v>31.486000000000001</v>
      </c>
      <c r="G25" s="73" t="str">
        <v>狒狒達摩</v>
      </c>
      <c r="H25" s="75">
        <v>30.880000000000003</v>
      </c>
      <c r="I25" s="68"/>
      <c r="J25" s="48" t="str">
        <v>噴火龍</v>
      </c>
      <c r="K25" s="48" t="str">
        <v>火</v>
      </c>
      <c r="L25" s="48" t="str">
        <v>Y</v>
      </c>
      <c r="M25" s="48">
        <v>187</v>
      </c>
      <c r="N25" s="48" t="str">
        <v>D</v>
      </c>
      <c r="O25" s="71">
        <v>125664</v>
      </c>
      <c r="P25" s="83">
        <f t="shared" si="0"/>
        <v>0.57573891625615758</v>
      </c>
      <c r="Q25" s="63"/>
      <c r="R25" s="63"/>
      <c r="S25" s="63"/>
      <c r="T25" s="63"/>
      <c r="U25" s="63"/>
      <c r="V25" s="63"/>
      <c r="W25" s="63"/>
      <c r="Y25" s="48" t="s">
        <v>66</v>
      </c>
      <c r="Z25" s="48" t="s">
        <v>70</v>
      </c>
      <c r="AA25" s="48" t="s">
        <v>118</v>
      </c>
      <c r="AB25" s="51">
        <f>數據!P24</f>
        <v>24.103999999999999</v>
      </c>
      <c r="AC25" s="78">
        <f>數據!P23</f>
        <v>23.797999999999998</v>
      </c>
      <c r="AD25" s="48" t="s">
        <v>65</v>
      </c>
      <c r="AE25" s="3" t="s">
        <v>100</v>
      </c>
      <c r="AF25" s="3" t="s">
        <v>130</v>
      </c>
      <c r="AG25" s="3">
        <f>_xlfn.XLOOKUP(AD25, 數據!B$2:B$50, 數據!M$2:M$50)</f>
        <v>218</v>
      </c>
      <c r="AH25" s="7" t="s">
        <v>6</v>
      </c>
      <c r="AI25" s="63">
        <f>AG25*IF(AH25="G", 450, IF(AH25="D", 350, 0)) * IF(AF25="Y", 1.2, 1)*(INDEX(屬性克制表!$B$2:$T$20, MATCH(AE25, 屬性克制表!$A$2:$A$20, 0), MATCH($L$1, 屬性克制表!$B$1:$T$1, 0)) * INDEX(屬性克制表!$B$2:$T$20, MATCH(AE25, 屬性克制表!$A$2:$A$20, 0), MATCH($M$1, 屬性克制表!$B$1:$T$1, 0)))</f>
        <v>146496</v>
      </c>
      <c r="AK25" s="48" t="s">
        <v>66</v>
      </c>
      <c r="AL25" s="66">
        <f>AB25/(INDEX(屬性克制表!$B$2:$T$20, MATCH($A$1, 屬性克制表!$A$2:$A$20, 0), MATCH(Z25, 屬性克制表!$B$1:$T$1, 0)) * INDEX(屬性克制表!$B$2:$T$20, MATCH($A$1, 屬性克制表!$A$2:$A$20, 0), MATCH(AA25, 屬性克制表!$B$1:$T$1, 0)))</f>
        <v>24.103999999999999</v>
      </c>
      <c r="AM25" s="48" t="s">
        <v>66</v>
      </c>
      <c r="AN25" s="56">
        <f>AB25/(INDEX(屬性克制表!$B$2:$T$20, MATCH($C$1, 屬性克制表!$A$2:$A$20, 0), MATCH(Z25, 屬性克制表!$B$1:$T$1, 0)) * INDEX(屬性克制表!$B$2:$T$20, MATCH($C$1, 屬性克制表!$A$2:$A$20, 0), MATCH(AA25, 屬性克制表!$B$1:$T$1, 0)))</f>
        <v>24.103999999999999</v>
      </c>
      <c r="AO25" s="48" t="s">
        <v>66</v>
      </c>
      <c r="AP25" s="56">
        <f>AB25/(INDEX(屬性克制表!$B$2:$T$20, MATCH($E$1, 屬性克制表!$A$2:$A$20, 0), MATCH(Z25, 屬性克制表!$B$1:$T$1, 0)) * INDEX(屬性克制表!$B$2:$T$20, MATCH($E$1, 屬性克制表!$A$2:$A$20, 0), MATCH(AA25, 屬性克制表!$B$1:$T$1, 0)))</f>
        <v>24.103999999999999</v>
      </c>
      <c r="AQ25" s="48" t="s">
        <v>66</v>
      </c>
      <c r="AR25" s="56">
        <f>AB25/(INDEX(屬性克制表!$B$2:$T$20, MATCH($G$1, 屬性克制表!$A$2:$A$20, 0), MATCH(Z25, 屬性克制表!$B$1:$T$1, 0)) * INDEX(屬性克制表!$B$2:$T$20, MATCH($G$1, 屬性克制表!$A$2:$A$20, 0), MATCH(AA25, 屬性克制表!$B$1:$T$1, 0)))</f>
        <v>24.103999999999999</v>
      </c>
    </row>
    <row r="26" spans="1:44">
      <c r="A26" s="73" t="str">
        <v>仙子伊布</v>
      </c>
      <c r="B26" s="75">
        <v>31.486000000000001</v>
      </c>
      <c r="C26" s="73" t="str">
        <v>水箭龜</v>
      </c>
      <c r="D26" s="75">
        <v>27.824999999999999</v>
      </c>
      <c r="E26" s="73" t="str">
        <v>鋼鎧鴉</v>
      </c>
      <c r="F26" s="75">
        <v>31.35</v>
      </c>
      <c r="G26" s="73" t="str">
        <v>帝牙海獅</v>
      </c>
      <c r="H26" s="75">
        <v>30.652999999999999</v>
      </c>
      <c r="I26" s="68"/>
      <c r="J26" s="48" t="str">
        <v>無極汰那</v>
      </c>
      <c r="K26" s="48" t="str">
        <v>龍</v>
      </c>
      <c r="L26" s="48" t="str">
        <v>Y</v>
      </c>
      <c r="M26" s="48">
        <v>231</v>
      </c>
      <c r="N26" s="48" t="str">
        <v>G</v>
      </c>
      <c r="O26" s="71">
        <v>124740</v>
      </c>
      <c r="P26" s="83">
        <f t="shared" si="0"/>
        <v>0.57150554187192104</v>
      </c>
      <c r="Q26" s="63"/>
      <c r="R26" s="63"/>
      <c r="S26" s="63"/>
      <c r="T26" s="63"/>
      <c r="U26" s="63"/>
      <c r="V26" s="63"/>
      <c r="W26" s="63"/>
      <c r="Y26" s="48" t="s">
        <v>33</v>
      </c>
      <c r="Z26" s="48" t="s">
        <v>35</v>
      </c>
      <c r="AA26" s="48" t="s">
        <v>80</v>
      </c>
      <c r="AB26" s="51">
        <f>數據!P25</f>
        <v>23.712</v>
      </c>
      <c r="AC26" s="78">
        <f>數據!P24</f>
        <v>24.103999999999999</v>
      </c>
      <c r="AD26" s="3" t="s">
        <v>48</v>
      </c>
      <c r="AE26" s="4" t="s">
        <v>72</v>
      </c>
      <c r="AF26" s="4" t="s">
        <v>130</v>
      </c>
      <c r="AG26" s="3">
        <f>_xlfn.XLOOKUP(AD26, 數據!B$2:B$50, 數據!M$2:M$50)</f>
        <v>223</v>
      </c>
      <c r="AH26" s="3" t="s">
        <v>6</v>
      </c>
      <c r="AI26" s="63">
        <f>AG26*IF(AH26="G", 450, IF(AH26="D", 350, 0)) * IF(AF26="Y", 1.2, 1)*(INDEX(屬性克制表!$B$2:$T$20, MATCH(AE26, 屬性克制表!$A$2:$A$20, 0), MATCH($L$1, 屬性克制表!$B$1:$T$1, 0)) * INDEX(屬性克制表!$B$2:$T$20, MATCH(AE26, 屬性克制表!$A$2:$A$20, 0), MATCH($M$1, 屬性克制表!$B$1:$T$1, 0)))</f>
        <v>93660</v>
      </c>
      <c r="AK26" s="48" t="s">
        <v>33</v>
      </c>
      <c r="AL26" s="66">
        <f>AB26/(INDEX(屬性克制表!$B$2:$T$20, MATCH($A$1, 屬性克制表!$A$2:$A$20, 0), MATCH(Z26, 屬性克制表!$B$1:$T$1, 0)) * INDEX(屬性克制表!$B$2:$T$20, MATCH($A$1, 屬性克制表!$A$2:$A$20, 0), MATCH(AA26, 屬性克制表!$B$1:$T$1, 0)))</f>
        <v>14.819999999999999</v>
      </c>
      <c r="AM26" s="48" t="s">
        <v>33</v>
      </c>
      <c r="AN26" s="56">
        <f>AB26/(INDEX(屬性克制表!$B$2:$T$20, MATCH($C$1, 屬性克制表!$A$2:$A$20, 0), MATCH(Z26, 屬性克制表!$B$1:$T$1, 0)) * INDEX(屬性克制表!$B$2:$T$20, MATCH($C$1, 屬性克制表!$A$2:$A$20, 0), MATCH(AA26, 屬性克制表!$B$1:$T$1, 0)))</f>
        <v>23.712</v>
      </c>
      <c r="AO26" s="48" t="s">
        <v>33</v>
      </c>
      <c r="AP26" s="56">
        <f>AB26/(INDEX(屬性克制表!$B$2:$T$20, MATCH($E$1, 屬性克制表!$A$2:$A$20, 0), MATCH(Z26, 屬性克制表!$B$1:$T$1, 0)) * INDEX(屬性克制表!$B$2:$T$20, MATCH($E$1, 屬性克制表!$A$2:$A$20, 0), MATCH(AA26, 屬性克制表!$B$1:$T$1, 0)))</f>
        <v>37.9392</v>
      </c>
      <c r="AQ26" s="48" t="s">
        <v>33</v>
      </c>
      <c r="AR26" s="56">
        <f>AB26/(INDEX(屬性克制表!$B$2:$T$20, MATCH($G$1, 屬性克制表!$A$2:$A$20, 0), MATCH(Z26, 屬性克制表!$B$1:$T$1, 0)) * INDEX(屬性克制表!$B$2:$T$20, MATCH($G$1, 屬性克制表!$A$2:$A$20, 0), MATCH(AA26, 屬性克制表!$B$1:$T$1, 0)))</f>
        <v>37.9392</v>
      </c>
    </row>
    <row r="27" spans="1:44">
      <c r="A27" s="73" t="str">
        <v>巨鉗蟹</v>
      </c>
      <c r="B27" s="75">
        <v>31.089600000000001</v>
      </c>
      <c r="C27" s="73" t="str">
        <v>雷公</v>
      </c>
      <c r="D27" s="75">
        <v>27.37</v>
      </c>
      <c r="E27" s="73" t="str">
        <v>巨鉗蟹</v>
      </c>
      <c r="F27" s="75">
        <v>31.089600000000001</v>
      </c>
      <c r="G27" s="73" t="str">
        <v>急凍鳥</v>
      </c>
      <c r="H27" s="75">
        <v>30.504000000000001</v>
      </c>
      <c r="I27" s="68"/>
      <c r="J27" s="48" t="str">
        <v>蒼響</v>
      </c>
      <c r="K27" s="48" t="str">
        <v>鋼</v>
      </c>
      <c r="L27" s="48" t="str">
        <v>Y</v>
      </c>
      <c r="M27" s="48">
        <v>291</v>
      </c>
      <c r="N27" s="48" t="str">
        <v>D</v>
      </c>
      <c r="O27" s="71">
        <v>122220</v>
      </c>
      <c r="P27" s="83">
        <f t="shared" si="0"/>
        <v>0.55995997536945807</v>
      </c>
      <c r="Q27" s="63"/>
      <c r="R27" s="63"/>
      <c r="S27" s="63"/>
      <c r="T27" s="63"/>
      <c r="U27" s="63"/>
      <c r="V27" s="63"/>
      <c r="W27" s="63"/>
      <c r="Y27" s="48" t="s">
        <v>68</v>
      </c>
      <c r="Z27" s="48" t="s">
        <v>74</v>
      </c>
      <c r="AA27" s="48" t="s">
        <v>118</v>
      </c>
      <c r="AB27" s="51">
        <f>數據!P26</f>
        <v>24.882999999999999</v>
      </c>
      <c r="AC27" s="78">
        <f>數據!P25</f>
        <v>23.712</v>
      </c>
      <c r="AD27" s="3" t="s">
        <v>51</v>
      </c>
      <c r="AE27" s="4" t="s">
        <v>97</v>
      </c>
      <c r="AF27" s="4" t="s">
        <v>130</v>
      </c>
      <c r="AG27" s="3">
        <f>_xlfn.XLOOKUP(AD27, 數據!B$2:B$50, 數據!M$2:M$50)</f>
        <v>214</v>
      </c>
      <c r="AH27" s="3" t="s">
        <v>6</v>
      </c>
      <c r="AI27" s="63">
        <f>AG27*IF(AH27="G", 450, IF(AH27="D", 350, 0)) * IF(AF27="Y", 1.2, 1)*(INDEX(屬性克制表!$B$2:$T$20, MATCH(AE27, 屬性克制表!$A$2:$A$20, 0), MATCH($L$1, 屬性克制表!$B$1:$T$1, 0)) * INDEX(屬性克制表!$B$2:$T$20, MATCH(AE27, 屬性克制表!$A$2:$A$20, 0), MATCH($M$1, 屬性克制表!$B$1:$T$1, 0)))</f>
        <v>143808</v>
      </c>
      <c r="AK27" s="48" t="s">
        <v>68</v>
      </c>
      <c r="AL27" s="66">
        <f>AB27/(INDEX(屬性克制表!$B$2:$T$20, MATCH($A$1, 屬性克制表!$A$2:$A$20, 0), MATCH(Z27, 屬性克制表!$B$1:$T$1, 0)) * INDEX(屬性克制表!$B$2:$T$20, MATCH($A$1, 屬性克制表!$A$2:$A$20, 0), MATCH(AA27, 屬性克制表!$B$1:$T$1, 0)))</f>
        <v>24.882999999999999</v>
      </c>
      <c r="AM27" s="48" t="s">
        <v>68</v>
      </c>
      <c r="AN27" s="56">
        <f>AB27/(INDEX(屬性克制表!$B$2:$T$20, MATCH($C$1, 屬性克制表!$A$2:$A$20, 0), MATCH(Z27, 屬性克制表!$B$1:$T$1, 0)) * INDEX(屬性克制表!$B$2:$T$20, MATCH($C$1, 屬性克制表!$A$2:$A$20, 0), MATCH(AA27, 屬性克制表!$B$1:$T$1, 0)))</f>
        <v>63.63938618925831</v>
      </c>
      <c r="AO27" s="48" t="s">
        <v>68</v>
      </c>
      <c r="AP27" s="56">
        <f>AB27/(INDEX(屬性克制表!$B$2:$T$20, MATCH($E$1, 屬性克制表!$A$2:$A$20, 0), MATCH(Z27, 屬性克制表!$B$1:$T$1, 0)) * INDEX(屬性克制表!$B$2:$T$20, MATCH($E$1, 屬性克制表!$A$2:$A$20, 0), MATCH(AA27, 屬性克制表!$B$1:$T$1, 0)))</f>
        <v>24.882999999999999</v>
      </c>
      <c r="AQ27" s="48" t="s">
        <v>68</v>
      </c>
      <c r="AR27" s="56">
        <f>AB27/(INDEX(屬性克制表!$B$2:$T$20, MATCH($G$1, 屬性克制表!$A$2:$A$20, 0), MATCH(Z27, 屬性克制表!$B$1:$T$1, 0)) * INDEX(屬性克制表!$B$2:$T$20, MATCH($G$1, 屬性克制表!$A$2:$A$20, 0), MATCH(AA27, 屬性克制表!$B$1:$T$1, 0)))</f>
        <v>24.882999999999999</v>
      </c>
    </row>
    <row r="28" spans="1:44">
      <c r="A28" s="73" t="str">
        <v>狒狒達摩</v>
      </c>
      <c r="B28" s="75">
        <v>30.880000000000003</v>
      </c>
      <c r="C28" s="73" t="str">
        <v>轟擂金剛猩</v>
      </c>
      <c r="D28" s="75">
        <v>27.027000000000001</v>
      </c>
      <c r="E28" s="73" t="str">
        <v>急凍鳥</v>
      </c>
      <c r="F28" s="75">
        <v>30.504000000000001</v>
      </c>
      <c r="G28" s="73" t="str">
        <v>戰弦蠑螈</v>
      </c>
      <c r="H28" s="75">
        <v>29.814399999999999</v>
      </c>
      <c r="I28" s="68"/>
      <c r="J28" s="48" t="str">
        <v>拉普拉斯</v>
      </c>
      <c r="K28" s="48" t="str">
        <v>冰</v>
      </c>
      <c r="L28" s="48" t="str">
        <v>Y</v>
      </c>
      <c r="M28" s="48">
        <v>141</v>
      </c>
      <c r="N28" s="48" t="str">
        <v>G</v>
      </c>
      <c r="O28" s="71">
        <v>121824</v>
      </c>
      <c r="P28" s="83">
        <f t="shared" si="0"/>
        <v>0.55814567206192811</v>
      </c>
      <c r="Q28" s="63"/>
      <c r="R28" s="63"/>
      <c r="S28" s="63"/>
      <c r="T28" s="63"/>
      <c r="U28" s="63"/>
      <c r="V28" s="63"/>
      <c r="W28" s="63"/>
      <c r="Y28" s="48" t="s">
        <v>84</v>
      </c>
      <c r="Z28" s="48" t="s">
        <v>38</v>
      </c>
      <c r="AA28" s="48" t="s">
        <v>36</v>
      </c>
      <c r="AB28" s="51">
        <f>數據!P27</f>
        <v>25.456</v>
      </c>
      <c r="AC28" s="78">
        <f>數據!P26</f>
        <v>24.882999999999999</v>
      </c>
      <c r="AD28" s="3" t="s">
        <v>51</v>
      </c>
      <c r="AE28" s="4" t="s">
        <v>71</v>
      </c>
      <c r="AF28" s="4" t="s">
        <v>130</v>
      </c>
      <c r="AG28" s="3">
        <f>_xlfn.XLOOKUP(AD28, 數據!B$2:B$50, 數據!M$2:M$50)</f>
        <v>214</v>
      </c>
      <c r="AH28" s="3" t="s">
        <v>6</v>
      </c>
      <c r="AI28" s="63">
        <f>AG28*IF(AH28="G", 450, IF(AH28="D", 350, 0)) * IF(AF28="Y", 1.2, 1)*(INDEX(屬性克制表!$B$2:$T$20, MATCH(AE28, 屬性克制表!$A$2:$A$20, 0), MATCH($L$1, 屬性克制表!$B$1:$T$1, 0)) * INDEX(屬性克制表!$B$2:$T$20, MATCH(AE28, 屬性克制表!$A$2:$A$20, 0), MATCH($M$1, 屬性克制表!$B$1:$T$1, 0)))</f>
        <v>89880</v>
      </c>
      <c r="AK28" s="48" t="s">
        <v>84</v>
      </c>
      <c r="AL28" s="66">
        <f>AB28/(INDEX(屬性克制表!$B$2:$T$20, MATCH($A$1, 屬性克制表!$A$2:$A$20, 0), MATCH(Z28, 屬性克制表!$B$1:$T$1, 0)) * INDEX(屬性克制表!$B$2:$T$20, MATCH($A$1, 屬性克制表!$A$2:$A$20, 0), MATCH(AA28, 屬性克制表!$B$1:$T$1, 0)))</f>
        <v>65.167360000000002</v>
      </c>
      <c r="AM28" s="48" t="s">
        <v>84</v>
      </c>
      <c r="AN28" s="56">
        <f>AB28/(INDEX(屬性克制表!$B$2:$T$20, MATCH($C$1, 屬性克制表!$A$2:$A$20, 0), MATCH(Z28, 屬性克制表!$B$1:$T$1, 0)) * INDEX(屬性克制表!$B$2:$T$20, MATCH($C$1, 屬性克制表!$A$2:$A$20, 0), MATCH(AA28, 屬性克制表!$B$1:$T$1, 0)))</f>
        <v>25.456</v>
      </c>
      <c r="AO28" s="48" t="s">
        <v>84</v>
      </c>
      <c r="AP28" s="56">
        <f>AB28/(INDEX(屬性克制表!$B$2:$T$20, MATCH($E$1, 屬性克制表!$A$2:$A$20, 0), MATCH(Z28, 屬性克制表!$B$1:$T$1, 0)) * INDEX(屬性克制表!$B$2:$T$20, MATCH($E$1, 屬性克制表!$A$2:$A$20, 0), MATCH(AA28, 屬性克制表!$B$1:$T$1, 0)))</f>
        <v>25.456</v>
      </c>
      <c r="AQ28" s="48" t="s">
        <v>84</v>
      </c>
      <c r="AR28" s="56">
        <f>AB28/(INDEX(屬性克制表!$B$2:$T$20, MATCH($G$1, 屬性克制表!$A$2:$A$20, 0), MATCH(Z28, 屬性克制表!$B$1:$T$1, 0)) * INDEX(屬性克制表!$B$2:$T$20, MATCH($G$1, 屬性克制表!$A$2:$A$20, 0), MATCH(AA28, 屬性克制表!$B$1:$T$1, 0)))</f>
        <v>25.456</v>
      </c>
    </row>
    <row r="29" spans="1:44">
      <c r="A29" s="73" t="str">
        <v>帝牙海獅</v>
      </c>
      <c r="B29" s="75">
        <v>30.652999999999999</v>
      </c>
      <c r="C29" s="73" t="str">
        <v>幾何雪花</v>
      </c>
      <c r="D29" s="75">
        <v>26.295999999999999</v>
      </c>
      <c r="E29" s="73" t="str">
        <v>巨金怪</v>
      </c>
      <c r="F29" s="75">
        <v>30.428999999999998</v>
      </c>
      <c r="G29" s="73" t="str">
        <v>藏飽栗鼠</v>
      </c>
      <c r="H29" s="75">
        <v>29.295000000000002</v>
      </c>
      <c r="I29" s="68"/>
      <c r="J29" s="48" t="str">
        <v>耿鬼</v>
      </c>
      <c r="K29" s="48" t="str">
        <v>幽靈</v>
      </c>
      <c r="L29" s="48" t="str">
        <v>Y</v>
      </c>
      <c r="M29" s="48">
        <v>223</v>
      </c>
      <c r="N29" s="48" t="str">
        <v>G</v>
      </c>
      <c r="O29" s="71">
        <v>120420</v>
      </c>
      <c r="P29" s="83">
        <f t="shared" si="0"/>
        <v>0.55171314215341305</v>
      </c>
      <c r="Q29" s="63"/>
      <c r="R29" s="63"/>
      <c r="S29" s="63"/>
      <c r="T29" s="63"/>
      <c r="U29" s="63"/>
      <c r="V29" s="63"/>
      <c r="W29" s="63"/>
      <c r="Y29" s="48" t="s">
        <v>49</v>
      </c>
      <c r="Z29" s="48" t="s">
        <v>38</v>
      </c>
      <c r="AA29" s="48" t="s">
        <v>46</v>
      </c>
      <c r="AB29" s="51">
        <f>數據!P28</f>
        <v>33.659999999999997</v>
      </c>
      <c r="AC29" s="78">
        <f>數據!P27</f>
        <v>25.456</v>
      </c>
      <c r="AD29" s="4" t="s">
        <v>59</v>
      </c>
      <c r="AE29" s="4" t="s">
        <v>73</v>
      </c>
      <c r="AF29" s="4" t="s">
        <v>130</v>
      </c>
      <c r="AG29" s="3">
        <f>_xlfn.XLOOKUP(AD29, 數據!B$2:B$50, 數據!M$2:M$50)</f>
        <v>217</v>
      </c>
      <c r="AH29" s="4" t="s">
        <v>6</v>
      </c>
      <c r="AI29" s="63">
        <f>AG29*IF(AH29="G", 450, IF(AH29="D", 350, 0)) * IF(AF29="Y", 1.2, 1)*(INDEX(屬性克制表!$B$2:$T$20, MATCH(AE29, 屬性克制表!$A$2:$A$20, 0), MATCH($L$1, 屬性克制表!$B$1:$T$1, 0)) * INDEX(屬性克制表!$B$2:$T$20, MATCH(AE29, 屬性克制表!$A$2:$A$20, 0), MATCH($M$1, 屬性克制表!$B$1:$T$1, 0)))</f>
        <v>56962.5</v>
      </c>
      <c r="AK29" s="48" t="s">
        <v>49</v>
      </c>
      <c r="AL29" s="66">
        <f>AB29/(INDEX(屬性克制表!$B$2:$T$20, MATCH($A$1, 屬性克制表!$A$2:$A$20, 0), MATCH(Z29, 屬性克制表!$B$1:$T$1, 0)) * INDEX(屬性克制表!$B$2:$T$20, MATCH($A$1, 屬性克制表!$A$2:$A$20, 0), MATCH(AA29, 屬性克制表!$B$1:$T$1, 0)))</f>
        <v>33.659999999999997</v>
      </c>
      <c r="AM29" s="48" t="s">
        <v>49</v>
      </c>
      <c r="AN29" s="56">
        <f>AB29/(INDEX(屬性克制表!$B$2:$T$20, MATCH($C$1, 屬性克制表!$A$2:$A$20, 0), MATCH(Z29, 屬性克制表!$B$1:$T$1, 0)) * INDEX(屬性克制表!$B$2:$T$20, MATCH($C$1, 屬性克制表!$A$2:$A$20, 0), MATCH(AA29, 屬性克制表!$B$1:$T$1, 0)))</f>
        <v>33.659999999999997</v>
      </c>
      <c r="AO29" s="48" t="s">
        <v>49</v>
      </c>
      <c r="AP29" s="56">
        <f>AB29/(INDEX(屬性克制表!$B$2:$T$20, MATCH($E$1, 屬性克制表!$A$2:$A$20, 0), MATCH(Z29, 屬性克制表!$B$1:$T$1, 0)) * INDEX(屬性克制表!$B$2:$T$20, MATCH($E$1, 屬性克制表!$A$2:$A$20, 0), MATCH(AA29, 屬性克制表!$B$1:$T$1, 0)))</f>
        <v>21.037499999999998</v>
      </c>
      <c r="AQ29" s="48" t="s">
        <v>49</v>
      </c>
      <c r="AR29" s="56">
        <f>AB29/(INDEX(屬性克制表!$B$2:$T$20, MATCH($G$1, 屬性克制表!$A$2:$A$20, 0), MATCH(Z29, 屬性克制表!$B$1:$T$1, 0)) * INDEX(屬性克制表!$B$2:$T$20, MATCH($G$1, 屬性克制表!$A$2:$A$20, 0), MATCH(AA29, 屬性克制表!$B$1:$T$1, 0)))</f>
        <v>33.659999999999997</v>
      </c>
    </row>
    <row r="30" spans="1:44">
      <c r="A30" s="73" t="str">
        <v>藏飽栗鼠</v>
      </c>
      <c r="B30" s="75">
        <v>29.295000000000002</v>
      </c>
      <c r="C30" s="73" t="str">
        <v>葉伊布</v>
      </c>
      <c r="D30" s="75">
        <v>25.9</v>
      </c>
      <c r="E30" s="73" t="str">
        <v>藏飽栗鼠</v>
      </c>
      <c r="F30" s="75">
        <v>29.295000000000002</v>
      </c>
      <c r="G30" s="73" t="str">
        <v>耿鬼</v>
      </c>
      <c r="H30" s="75">
        <v>29.1584</v>
      </c>
      <c r="I30" s="68"/>
      <c r="J30" s="48" t="str">
        <v>炎帝</v>
      </c>
      <c r="K30" s="48" t="str">
        <v>火</v>
      </c>
      <c r="L30" s="48" t="str">
        <v>Y</v>
      </c>
      <c r="M30" s="48">
        <v>175</v>
      </c>
      <c r="N30" s="48" t="str">
        <v>D</v>
      </c>
      <c r="O30" s="71">
        <v>117600</v>
      </c>
      <c r="P30" s="83">
        <f t="shared" si="0"/>
        <v>0.5387931034482758</v>
      </c>
      <c r="Q30" s="63"/>
      <c r="R30" s="63"/>
      <c r="S30" s="63"/>
      <c r="T30" s="63"/>
      <c r="U30" s="63"/>
      <c r="V30" s="63"/>
      <c r="W30" s="63"/>
      <c r="Y30" s="48" t="s">
        <v>62</v>
      </c>
      <c r="Z30" s="48" t="s">
        <v>70</v>
      </c>
      <c r="AA30" s="48" t="s">
        <v>118</v>
      </c>
      <c r="AB30" s="51">
        <f>數據!P29</f>
        <v>25.38</v>
      </c>
      <c r="AC30" s="78">
        <f>數據!P28</f>
        <v>33.659999999999997</v>
      </c>
      <c r="AD30" s="3" t="s">
        <v>59</v>
      </c>
      <c r="AE30" s="4" t="s">
        <v>71</v>
      </c>
      <c r="AF30" s="4" t="s">
        <v>130</v>
      </c>
      <c r="AG30" s="3">
        <f>_xlfn.XLOOKUP(AD30, 數據!B$2:B$50, 數據!M$2:M$50)</f>
        <v>217</v>
      </c>
      <c r="AH30" s="3" t="s">
        <v>6</v>
      </c>
      <c r="AI30" s="63">
        <f>AG30*IF(AH30="G", 450, IF(AH30="D", 350, 0)) * IF(AF30="Y", 1.2, 1)*(INDEX(屬性克制表!$B$2:$T$20, MATCH(AE30, 屬性克制表!$A$2:$A$20, 0), MATCH($L$1, 屬性克制表!$B$1:$T$1, 0)) * INDEX(屬性克制表!$B$2:$T$20, MATCH(AE30, 屬性克制表!$A$2:$A$20, 0), MATCH($M$1, 屬性克制表!$B$1:$T$1, 0)))</f>
        <v>91140</v>
      </c>
      <c r="AK30" s="48" t="s">
        <v>62</v>
      </c>
      <c r="AL30" s="66">
        <f>AB30/(INDEX(屬性克制表!$B$2:$T$20, MATCH($A$1, 屬性克制表!$A$2:$A$20, 0), MATCH(Z30, 屬性克制表!$B$1:$T$1, 0)) * INDEX(屬性克制表!$B$2:$T$20, MATCH($A$1, 屬性克制表!$A$2:$A$20, 0), MATCH(AA30, 屬性克制表!$B$1:$T$1, 0)))</f>
        <v>25.38</v>
      </c>
      <c r="AM30" s="48" t="s">
        <v>62</v>
      </c>
      <c r="AN30" s="56">
        <f>AB30/(INDEX(屬性克制表!$B$2:$T$20, MATCH($C$1, 屬性克制表!$A$2:$A$20, 0), MATCH(Z30, 屬性克制表!$B$1:$T$1, 0)) * INDEX(屬性克制表!$B$2:$T$20, MATCH($C$1, 屬性克制表!$A$2:$A$20, 0), MATCH(AA30, 屬性克制表!$B$1:$T$1, 0)))</f>
        <v>25.38</v>
      </c>
      <c r="AO30" s="48" t="s">
        <v>62</v>
      </c>
      <c r="AP30" s="56">
        <f>AB30/(INDEX(屬性克制表!$B$2:$T$20, MATCH($E$1, 屬性克制表!$A$2:$A$20, 0), MATCH(Z30, 屬性克制表!$B$1:$T$1, 0)) * INDEX(屬性克制表!$B$2:$T$20, MATCH($E$1, 屬性克制表!$A$2:$A$20, 0), MATCH(AA30, 屬性克制表!$B$1:$T$1, 0)))</f>
        <v>25.38</v>
      </c>
      <c r="AQ30" s="48" t="s">
        <v>62</v>
      </c>
      <c r="AR30" s="56">
        <f>AB30/(INDEX(屬性克制表!$B$2:$T$20, MATCH($G$1, 屬性克制表!$A$2:$A$20, 0), MATCH(Z30, 屬性克制表!$B$1:$T$1, 0)) * INDEX(屬性克制表!$B$2:$T$20, MATCH($G$1, 屬性克制表!$A$2:$A$20, 0), MATCH(AA30, 屬性克制表!$B$1:$T$1, 0)))</f>
        <v>25.38</v>
      </c>
    </row>
    <row r="31" spans="1:44">
      <c r="A31" s="73" t="str">
        <v>千面避役</v>
      </c>
      <c r="B31" s="75">
        <v>28.929600000000001</v>
      </c>
      <c r="C31" s="73" t="str">
        <v>多刺菊石獸</v>
      </c>
      <c r="D31" s="75">
        <v>25.456</v>
      </c>
      <c r="E31" s="73" t="str">
        <v>千面避役</v>
      </c>
      <c r="F31" s="75">
        <v>28.929600000000001</v>
      </c>
      <c r="G31" s="73" t="str">
        <v>龐岩怪</v>
      </c>
      <c r="H31" s="75">
        <v>28.728000000000002</v>
      </c>
      <c r="I31" s="68"/>
      <c r="J31" s="48" t="str">
        <v>洛奇亞</v>
      </c>
      <c r="K31" s="48" t="str">
        <v>超能力</v>
      </c>
      <c r="L31" s="48" t="str">
        <v>Y</v>
      </c>
      <c r="M31" s="48">
        <v>164</v>
      </c>
      <c r="N31" s="48" t="str">
        <v>D</v>
      </c>
      <c r="O31" s="71">
        <v>110208</v>
      </c>
      <c r="P31" s="83">
        <f t="shared" si="0"/>
        <v>0.50492610837438412</v>
      </c>
      <c r="Q31" s="63"/>
      <c r="R31" s="63"/>
      <c r="S31" s="63"/>
      <c r="T31" s="63"/>
      <c r="U31" s="63"/>
      <c r="V31" s="63"/>
      <c r="W31" s="63"/>
      <c r="Y31" s="48" t="s">
        <v>0</v>
      </c>
      <c r="Z31" s="48" t="s">
        <v>100</v>
      </c>
      <c r="AA31" s="48" t="s">
        <v>43</v>
      </c>
      <c r="AB31" s="51">
        <f>數據!P30</f>
        <v>22.62</v>
      </c>
      <c r="AC31" s="78">
        <f>數據!P29</f>
        <v>25.38</v>
      </c>
      <c r="AD31" s="3" t="s">
        <v>90</v>
      </c>
      <c r="AE31" s="4" t="s">
        <v>37</v>
      </c>
      <c r="AF31" s="4" t="s">
        <v>130</v>
      </c>
      <c r="AG31" s="3">
        <f>_xlfn.XLOOKUP(AD31, 數據!B$2:B$50, 數據!M$2:M$50)</f>
        <v>210</v>
      </c>
      <c r="AH31" s="3" t="s">
        <v>6</v>
      </c>
      <c r="AI31" s="63">
        <f>AG31*IF(AH31="G", 450, IF(AH31="D", 350, 0)) * IF(AF31="Y", 1.2, 1)*(INDEX(屬性克制表!$B$2:$T$20, MATCH(AE31, 屬性克制表!$A$2:$A$20, 0), MATCH($L$1, 屬性克制表!$B$1:$T$1, 0)) * INDEX(屬性克制表!$B$2:$T$20, MATCH(AE31, 屬性克制表!$A$2:$A$20, 0), MATCH($M$1, 屬性克制表!$B$1:$T$1, 0)))</f>
        <v>55125</v>
      </c>
      <c r="AK31" s="48" t="s">
        <v>0</v>
      </c>
      <c r="AL31" s="66">
        <f>AB31/(INDEX(屬性克制表!$B$2:$T$20, MATCH($A$1, 屬性克制表!$A$2:$A$20, 0), MATCH(Z31, 屬性克制表!$B$1:$T$1, 0)) * INDEX(屬性克制表!$B$2:$T$20, MATCH($A$1, 屬性克制表!$A$2:$A$20, 0), MATCH(AA31, 屬性克制表!$B$1:$T$1, 0)))</f>
        <v>36.192</v>
      </c>
      <c r="AM31" s="48" t="s">
        <v>0</v>
      </c>
      <c r="AN31" s="56">
        <f>AB31/(INDEX(屬性克制表!$B$2:$T$20, MATCH($C$1, 屬性克制表!$A$2:$A$20, 0), MATCH(Z31, 屬性克制表!$B$1:$T$1, 0)) * INDEX(屬性克制表!$B$2:$T$20, MATCH($C$1, 屬性克制表!$A$2:$A$20, 0), MATCH(AA31, 屬性克制表!$B$1:$T$1, 0)))</f>
        <v>22.62</v>
      </c>
      <c r="AO31" s="48" t="s">
        <v>0</v>
      </c>
      <c r="AP31" s="56">
        <f>AB31/(INDEX(屬性克制表!$B$2:$T$20, MATCH($E$1, 屬性克制表!$A$2:$A$20, 0), MATCH(Z31, 屬性克制表!$B$1:$T$1, 0)) * INDEX(屬性克制表!$B$2:$T$20, MATCH($E$1, 屬性克制表!$A$2:$A$20, 0), MATCH(AA31, 屬性克制表!$B$1:$T$1, 0)))</f>
        <v>14.137499999999999</v>
      </c>
      <c r="AQ31" s="48" t="s">
        <v>0</v>
      </c>
      <c r="AR31" s="56">
        <f>AB31/(INDEX(屬性克制表!$B$2:$T$20, MATCH($G$1, 屬性克制表!$A$2:$A$20, 0), MATCH(Z31, 屬性克制表!$B$1:$T$1, 0)) * INDEX(屬性克制表!$B$2:$T$20, MATCH($G$1, 屬性克制表!$A$2:$A$20, 0), MATCH(AA31, 屬性克制表!$B$1:$T$1, 0)))</f>
        <v>36.192</v>
      </c>
    </row>
    <row r="32" spans="1:44">
      <c r="A32" s="73" t="str">
        <v>武道熊師(一)</v>
      </c>
      <c r="B32" s="75">
        <v>28.2</v>
      </c>
      <c r="C32" s="73" t="str">
        <v>怪力</v>
      </c>
      <c r="D32" s="75">
        <v>25.38</v>
      </c>
      <c r="E32" s="73" t="str">
        <v>武道熊師(一)</v>
      </c>
      <c r="F32" s="75">
        <v>28.2</v>
      </c>
      <c r="G32" s="73" t="str">
        <v>武道熊師(連)</v>
      </c>
      <c r="H32" s="75">
        <v>28.2</v>
      </c>
      <c r="I32" s="68"/>
      <c r="J32" s="48" t="str">
        <v>怪力</v>
      </c>
      <c r="K32" s="48" t="str">
        <v>格鬥</v>
      </c>
      <c r="L32" s="48" t="str">
        <v>Y</v>
      </c>
      <c r="M32" s="48">
        <v>201</v>
      </c>
      <c r="N32" s="48" t="str">
        <v>G</v>
      </c>
      <c r="O32" s="71">
        <v>108540</v>
      </c>
      <c r="P32" s="83">
        <f t="shared" si="0"/>
        <v>0.49728404292751577</v>
      </c>
      <c r="Q32" s="63"/>
      <c r="R32" s="63"/>
      <c r="S32" s="63"/>
      <c r="T32" s="63"/>
      <c r="U32" s="63"/>
      <c r="V32" s="63"/>
      <c r="W32" s="63"/>
      <c r="Y32" s="48" t="s">
        <v>59</v>
      </c>
      <c r="Z32" s="48" t="s">
        <v>73</v>
      </c>
      <c r="AA32" s="48" t="s">
        <v>71</v>
      </c>
      <c r="AB32" s="51">
        <f>數據!P31</f>
        <v>23.69</v>
      </c>
      <c r="AC32" s="78">
        <f>數據!P30</f>
        <v>22.62</v>
      </c>
      <c r="AD32" s="3" t="s">
        <v>56</v>
      </c>
      <c r="AE32" s="3" t="s">
        <v>43</v>
      </c>
      <c r="AF32" s="3" t="s">
        <v>130</v>
      </c>
      <c r="AG32" s="3">
        <f>_xlfn.XLOOKUP(AD32, 數據!B$2:B$50, 數據!M$2:M$50)</f>
        <v>203</v>
      </c>
      <c r="AH32" s="3" t="s">
        <v>6</v>
      </c>
      <c r="AI32" s="63">
        <f>AG32*IF(AH32="G", 450, IF(AH32="D", 350, 0)) * IF(AF32="Y", 1.2, 1)*(INDEX(屬性克制表!$B$2:$T$20, MATCH(AE32, 屬性克制表!$A$2:$A$20, 0), MATCH($L$1, 屬性克制表!$B$1:$T$1, 0)) * INDEX(屬性克制表!$B$2:$T$20, MATCH(AE32, 屬性克制表!$A$2:$A$20, 0), MATCH($M$1, 屬性克制表!$B$1:$T$1, 0)))</f>
        <v>218265.60000000003</v>
      </c>
      <c r="AK32" s="48" t="s">
        <v>59</v>
      </c>
      <c r="AL32" s="66">
        <f>AB32/(INDEX(屬性克制表!$B$2:$T$20, MATCH($A$1, 屬性克制表!$A$2:$A$20, 0), MATCH(Z32, 屬性克制表!$B$1:$T$1, 0)) * INDEX(屬性克制表!$B$2:$T$20, MATCH($A$1, 屬性克制表!$A$2:$A$20, 0), MATCH(AA32, 屬性克制表!$B$1:$T$1, 0)))</f>
        <v>14.80625</v>
      </c>
      <c r="AM32" s="48" t="s">
        <v>59</v>
      </c>
      <c r="AN32" s="56">
        <f>AB32/(INDEX(屬性克制表!$B$2:$T$20, MATCH($C$1, 屬性克制表!$A$2:$A$20, 0), MATCH(Z32, 屬性克制表!$B$1:$T$1, 0)) * INDEX(屬性克制表!$B$2:$T$20, MATCH($C$1, 屬性克制表!$A$2:$A$20, 0), MATCH(AA32, 屬性克制表!$B$1:$T$1, 0)))</f>
        <v>23.69</v>
      </c>
      <c r="AO32" s="48" t="s">
        <v>59</v>
      </c>
      <c r="AP32" s="56">
        <f>AB32/(INDEX(屬性克制表!$B$2:$T$20, MATCH($E$1, 屬性克制表!$A$2:$A$20, 0), MATCH(Z32, 屬性克制表!$B$1:$T$1, 0)) * INDEX(屬性克制表!$B$2:$T$20, MATCH($E$1, 屬性克制表!$A$2:$A$20, 0), MATCH(AA32, 屬性克制表!$B$1:$T$1, 0)))</f>
        <v>14.80625</v>
      </c>
      <c r="AQ32" s="48" t="s">
        <v>59</v>
      </c>
      <c r="AR32" s="56">
        <f>AB32/(INDEX(屬性克制表!$B$2:$T$20, MATCH($G$1, 屬性克制表!$A$2:$A$20, 0), MATCH(Z32, 屬性克制表!$B$1:$T$1, 0)) * INDEX(屬性克制表!$B$2:$T$20, MATCH($G$1, 屬性克制表!$A$2:$A$20, 0), MATCH(AA32, 屬性克制表!$B$1:$T$1, 0)))</f>
        <v>37.904000000000003</v>
      </c>
    </row>
    <row r="33" spans="1:44">
      <c r="A33" s="73" t="str">
        <v>雷公</v>
      </c>
      <c r="B33" s="75">
        <v>27.37</v>
      </c>
      <c r="C33" s="73" t="str">
        <v>閃電鳥</v>
      </c>
      <c r="D33" s="75">
        <v>25.367999999999999</v>
      </c>
      <c r="E33" s="73" t="str">
        <v>雷公</v>
      </c>
      <c r="F33" s="75">
        <v>27.37</v>
      </c>
      <c r="G33" s="73" t="str">
        <v>水箭龜</v>
      </c>
      <c r="H33" s="75">
        <v>27.824999999999999</v>
      </c>
      <c r="I33" s="68"/>
      <c r="J33" s="48" t="str">
        <v>拉帝亞斯</v>
      </c>
      <c r="K33" s="48" t="str">
        <v>超能力</v>
      </c>
      <c r="L33" s="48" t="str">
        <v>Y</v>
      </c>
      <c r="M33" s="48">
        <v>158</v>
      </c>
      <c r="N33" s="48" t="str">
        <v>D</v>
      </c>
      <c r="O33" s="71">
        <v>106176</v>
      </c>
      <c r="P33" s="83">
        <f t="shared" si="0"/>
        <v>0.48645320197044328</v>
      </c>
      <c r="Q33" s="63"/>
      <c r="R33" s="63"/>
      <c r="S33" s="63"/>
      <c r="T33" s="63"/>
      <c r="U33" s="63"/>
      <c r="V33" s="63"/>
      <c r="W33" s="63"/>
      <c r="Y33" s="48" t="s">
        <v>52</v>
      </c>
      <c r="Z33" s="48" t="s">
        <v>80</v>
      </c>
      <c r="AA33" s="48" t="s">
        <v>118</v>
      </c>
      <c r="AB33" s="51">
        <f>數據!P32</f>
        <v>22.68</v>
      </c>
      <c r="AC33" s="78">
        <f>數據!P31</f>
        <v>23.69</v>
      </c>
      <c r="AD33" s="3" t="s">
        <v>57</v>
      </c>
      <c r="AE33" s="3" t="s">
        <v>43</v>
      </c>
      <c r="AF33" s="3" t="s">
        <v>130</v>
      </c>
      <c r="AG33" s="3">
        <f>_xlfn.XLOOKUP(AD33, 數據!B$2:B$50, 數據!M$2:M$50)</f>
        <v>200</v>
      </c>
      <c r="AH33" s="3" t="s">
        <v>6</v>
      </c>
      <c r="AI33" s="63">
        <f>AG33*IF(AH33="G", 450, IF(AH33="D", 350, 0)) * IF(AF33="Y", 1.2, 1)*(INDEX(屬性克制表!$B$2:$T$20, MATCH(AE33, 屬性克制表!$A$2:$A$20, 0), MATCH($L$1, 屬性克制表!$B$1:$T$1, 0)) * INDEX(屬性克制表!$B$2:$T$20, MATCH(AE33, 屬性克制表!$A$2:$A$20, 0), MATCH($M$1, 屬性克制表!$B$1:$T$1, 0)))</f>
        <v>215040.00000000003</v>
      </c>
      <c r="AK33" s="48" t="s">
        <v>52</v>
      </c>
      <c r="AL33" s="66">
        <f>AB33/(INDEX(屬性克制表!$B$2:$T$20, MATCH($A$1, 屬性克制表!$A$2:$A$20, 0), MATCH(Z33, 屬性克制表!$B$1:$T$1, 0)) * INDEX(屬性克制表!$B$2:$T$20, MATCH($A$1, 屬性克制表!$A$2:$A$20, 0), MATCH(AA33, 屬性克制表!$B$1:$T$1, 0)))</f>
        <v>22.68</v>
      </c>
      <c r="AM33" s="48" t="s">
        <v>52</v>
      </c>
      <c r="AN33" s="56">
        <f>AB33/(INDEX(屬性克制表!$B$2:$T$20, MATCH($C$1, 屬性克制表!$A$2:$A$20, 0), MATCH(Z33, 屬性克制表!$B$1:$T$1, 0)) * INDEX(屬性克制表!$B$2:$T$20, MATCH($C$1, 屬性克制表!$A$2:$A$20, 0), MATCH(AA33, 屬性克制表!$B$1:$T$1, 0)))</f>
        <v>22.68</v>
      </c>
      <c r="AO33" s="48" t="s">
        <v>52</v>
      </c>
      <c r="AP33" s="56">
        <f>AB33/(INDEX(屬性克制表!$B$2:$T$20, MATCH($E$1, 屬性克制表!$A$2:$A$20, 0), MATCH(Z33, 屬性克制表!$B$1:$T$1, 0)) * INDEX(屬性克制表!$B$2:$T$20, MATCH($E$1, 屬性克制表!$A$2:$A$20, 0), MATCH(AA33, 屬性克制表!$B$1:$T$1, 0)))</f>
        <v>22.68</v>
      </c>
      <c r="AQ33" s="48" t="s">
        <v>52</v>
      </c>
      <c r="AR33" s="56">
        <f>AB33/(INDEX(屬性克制表!$B$2:$T$20, MATCH($G$1, 屬性克制表!$A$2:$A$20, 0), MATCH(Z33, 屬性克制表!$B$1:$T$1, 0)) * INDEX(屬性克制表!$B$2:$T$20, MATCH($G$1, 屬性克制表!$A$2:$A$20, 0), MATCH(AA33, 屬性克制表!$B$1:$T$1, 0)))</f>
        <v>36.287999999999997</v>
      </c>
    </row>
    <row r="34" spans="1:44">
      <c r="A34" s="73" t="str">
        <v>藏瑪然特</v>
      </c>
      <c r="B34" s="75">
        <v>26.918749999999999</v>
      </c>
      <c r="C34" s="73" t="str">
        <v>甜冷美后</v>
      </c>
      <c r="D34" s="75">
        <v>24.9</v>
      </c>
      <c r="E34" s="73" t="str">
        <v>幾何雪花</v>
      </c>
      <c r="F34" s="75">
        <v>26.295999999999999</v>
      </c>
      <c r="G34" s="73" t="str">
        <v>雷公</v>
      </c>
      <c r="H34" s="75">
        <v>27.37</v>
      </c>
      <c r="I34" s="68"/>
      <c r="J34" s="48" t="str">
        <v>帝牙海獅</v>
      </c>
      <c r="K34" s="48" t="str">
        <v>冰</v>
      </c>
      <c r="L34" s="48" t="str">
        <v>Y</v>
      </c>
      <c r="M34" s="48">
        <v>156</v>
      </c>
      <c r="N34" s="48" t="str">
        <v>D</v>
      </c>
      <c r="O34" s="71">
        <v>104832</v>
      </c>
      <c r="P34" s="83">
        <f t="shared" si="0"/>
        <v>0.48029556650246297</v>
      </c>
      <c r="Q34" s="63"/>
      <c r="R34" s="63"/>
      <c r="S34" s="63"/>
      <c r="T34" s="63"/>
      <c r="U34" s="63"/>
      <c r="V34" s="63"/>
      <c r="W34" s="63"/>
      <c r="Y34" s="48" t="s">
        <v>1</v>
      </c>
      <c r="Z34" s="48" t="s">
        <v>42</v>
      </c>
      <c r="AA34" s="48" t="s">
        <v>118</v>
      </c>
      <c r="AB34" s="51">
        <f>數據!P33</f>
        <v>24.36</v>
      </c>
      <c r="AC34" s="78">
        <f>數據!P32</f>
        <v>22.68</v>
      </c>
      <c r="AD34" s="4" t="s">
        <v>7</v>
      </c>
      <c r="AE34" s="3" t="s">
        <v>100</v>
      </c>
      <c r="AF34" s="3" t="s">
        <v>130</v>
      </c>
      <c r="AG34" s="3">
        <f>_xlfn.XLOOKUP(AD34, 數據!B$2:B$50, 數據!M$2:M$50)</f>
        <v>200</v>
      </c>
      <c r="AH34" s="7" t="s">
        <v>6</v>
      </c>
      <c r="AI34" s="63">
        <f>AG34*IF(AH34="G", 450, IF(AH34="D", 350, 0)) * IF(AF34="Y", 1.2, 1)*(INDEX(屬性克制表!$B$2:$T$20, MATCH(AE34, 屬性克制表!$A$2:$A$20, 0), MATCH($L$1, 屬性克制表!$B$1:$T$1, 0)) * INDEX(屬性克制表!$B$2:$T$20, MATCH(AE34, 屬性克制表!$A$2:$A$20, 0), MATCH($M$1, 屬性克制表!$B$1:$T$1, 0)))</f>
        <v>134400</v>
      </c>
      <c r="AK34" s="48" t="s">
        <v>1</v>
      </c>
      <c r="AL34" s="66">
        <f>AB34/(INDEX(屬性克制表!$B$2:$T$20, MATCH($A$1, 屬性克制表!$A$2:$A$20, 0), MATCH(Z34, 屬性克制表!$B$1:$T$1, 0)) * INDEX(屬性克制表!$B$2:$T$20, MATCH($A$1, 屬性克制表!$A$2:$A$20, 0), MATCH(AA34, 屬性克制表!$B$1:$T$1, 0)))</f>
        <v>38.975999999999999</v>
      </c>
      <c r="AM34" s="48" t="s">
        <v>1</v>
      </c>
      <c r="AN34" s="56">
        <f>AB34/(INDEX(屬性克制表!$B$2:$T$20, MATCH($C$1, 屬性克制表!$A$2:$A$20, 0), MATCH(Z34, 屬性克制表!$B$1:$T$1, 0)) * INDEX(屬性克制表!$B$2:$T$20, MATCH($C$1, 屬性克制表!$A$2:$A$20, 0), MATCH(AA34, 屬性克制表!$B$1:$T$1, 0)))</f>
        <v>24.36</v>
      </c>
      <c r="AO34" s="48" t="s">
        <v>1</v>
      </c>
      <c r="AP34" s="56">
        <f>AB34/(INDEX(屬性克制表!$B$2:$T$20, MATCH($E$1, 屬性克制表!$A$2:$A$20, 0), MATCH(Z34, 屬性克制表!$B$1:$T$1, 0)) * INDEX(屬性克制表!$B$2:$T$20, MATCH($E$1, 屬性克制表!$A$2:$A$20, 0), MATCH(AA34, 屬性克制表!$B$1:$T$1, 0)))</f>
        <v>15.225</v>
      </c>
      <c r="AQ34" s="48" t="s">
        <v>1</v>
      </c>
      <c r="AR34" s="56">
        <f>AB34/(INDEX(屬性克制表!$B$2:$T$20, MATCH($G$1, 屬性克制表!$A$2:$A$20, 0), MATCH(Z34, 屬性克制表!$B$1:$T$1, 0)) * INDEX(屬性克制表!$B$2:$T$20, MATCH($G$1, 屬性克制表!$A$2:$A$20, 0), MATCH(AA34, 屬性克制表!$B$1:$T$1, 0)))</f>
        <v>38.975999999999999</v>
      </c>
    </row>
    <row r="35" spans="1:44">
      <c r="A35" s="73" t="str">
        <v>怪力</v>
      </c>
      <c r="B35" s="75">
        <v>25.38</v>
      </c>
      <c r="C35" s="73" t="str">
        <v>閃焰王牌</v>
      </c>
      <c r="D35" s="75">
        <v>24.36</v>
      </c>
      <c r="E35" s="73" t="str">
        <v>多刺菊石獸</v>
      </c>
      <c r="F35" s="75">
        <v>25.456</v>
      </c>
      <c r="G35" s="73" t="str">
        <v>轟擂金剛猩</v>
      </c>
      <c r="H35" s="75">
        <v>27.027000000000001</v>
      </c>
      <c r="I35" s="68"/>
      <c r="J35" s="48" t="str">
        <v>急凍鳥</v>
      </c>
      <c r="K35" s="48" t="str">
        <v>冰</v>
      </c>
      <c r="L35" s="48" t="str">
        <v>Y</v>
      </c>
      <c r="M35" s="48">
        <v>155</v>
      </c>
      <c r="N35" s="48" t="str">
        <v>D</v>
      </c>
      <c r="O35" s="71">
        <v>104160</v>
      </c>
      <c r="P35" s="83">
        <f t="shared" si="0"/>
        <v>0.47721674876847281</v>
      </c>
      <c r="Q35" s="63"/>
      <c r="R35" s="63"/>
      <c r="S35" s="63"/>
      <c r="T35" s="63"/>
      <c r="U35" s="63"/>
      <c r="V35" s="63"/>
      <c r="W35" s="63"/>
      <c r="Y35" s="48" t="s">
        <v>24</v>
      </c>
      <c r="Z35" s="48" t="s">
        <v>36</v>
      </c>
      <c r="AA35" s="48" t="s">
        <v>118</v>
      </c>
      <c r="AB35" s="51">
        <f>數據!P34</f>
        <v>22.88</v>
      </c>
      <c r="AC35" s="78">
        <f>數據!P33</f>
        <v>24.36</v>
      </c>
      <c r="AD35" s="3" t="s">
        <v>88</v>
      </c>
      <c r="AE35" s="4" t="s">
        <v>71</v>
      </c>
      <c r="AF35" s="4" t="s">
        <v>130</v>
      </c>
      <c r="AG35" s="3">
        <f>_xlfn.XLOOKUP(AD35, 數據!B$2:B$50, 數據!M$2:M$50)</f>
        <v>218</v>
      </c>
      <c r="AH35" s="3" t="s">
        <v>6</v>
      </c>
      <c r="AI35" s="63">
        <f>AG35*IF(AH35="G", 450, IF(AH35="D", 350, 0)) * IF(AF35="Y", 1.2, 1)*(INDEX(屬性克制表!$B$2:$T$20, MATCH(AE35, 屬性克制表!$A$2:$A$20, 0), MATCH($L$1, 屬性克制表!$B$1:$T$1, 0)) * INDEX(屬性克制表!$B$2:$T$20, MATCH(AE35, 屬性克制表!$A$2:$A$20, 0), MATCH($M$1, 屬性克制表!$B$1:$T$1, 0)))</f>
        <v>91560</v>
      </c>
      <c r="AK35" s="48" t="s">
        <v>24</v>
      </c>
      <c r="AL35" s="66">
        <f>AB35/(INDEX(屬性克制表!$B$2:$T$20, MATCH($A$1, 屬性克制表!$A$2:$A$20, 0), MATCH(Z35, 屬性克制表!$B$1:$T$1, 0)) * INDEX(屬性克制表!$B$2:$T$20, MATCH($A$1, 屬性克制表!$A$2:$A$20, 0), MATCH(AA35, 屬性克制表!$B$1:$T$1, 0)))</f>
        <v>36.607999999999997</v>
      </c>
      <c r="AM35" s="48" t="s">
        <v>24</v>
      </c>
      <c r="AN35" s="56">
        <f>AB35/(INDEX(屬性克制表!$B$2:$T$20, MATCH($C$1, 屬性克制表!$A$2:$A$20, 0), MATCH(Z35, 屬性克制表!$B$1:$T$1, 0)) * INDEX(屬性克制表!$B$2:$T$20, MATCH($C$1, 屬性克制表!$A$2:$A$20, 0), MATCH(AA35, 屬性克制表!$B$1:$T$1, 0)))</f>
        <v>22.88</v>
      </c>
      <c r="AO35" s="48" t="s">
        <v>24</v>
      </c>
      <c r="AP35" s="56">
        <f>AB35/(INDEX(屬性克制表!$B$2:$T$20, MATCH($E$1, 屬性克制表!$A$2:$A$20, 0), MATCH(Z35, 屬性克制表!$B$1:$T$1, 0)) * INDEX(屬性克制表!$B$2:$T$20, MATCH($E$1, 屬性克制表!$A$2:$A$20, 0), MATCH(AA35, 屬性克制表!$B$1:$T$1, 0)))</f>
        <v>36.607999999999997</v>
      </c>
      <c r="AQ35" s="48" t="s">
        <v>24</v>
      </c>
      <c r="AR35" s="56">
        <f>AB35/(INDEX(屬性克制表!$B$2:$T$20, MATCH($G$1, 屬性克制表!$A$2:$A$20, 0), MATCH(Z35, 屬性克制表!$B$1:$T$1, 0)) * INDEX(屬性克制表!$B$2:$T$20, MATCH($G$1, 屬性克制表!$A$2:$A$20, 0), MATCH(AA35, 屬性克制表!$B$1:$T$1, 0)))</f>
        <v>22.88</v>
      </c>
    </row>
    <row r="36" spans="1:44">
      <c r="A36" s="73" t="str">
        <v>閃電鳥</v>
      </c>
      <c r="B36" s="75">
        <v>25.367999999999999</v>
      </c>
      <c r="C36" s="73" t="str">
        <v>冰伊布</v>
      </c>
      <c r="D36" s="75">
        <v>24.36</v>
      </c>
      <c r="E36" s="73" t="str">
        <v>怪力</v>
      </c>
      <c r="F36" s="75">
        <v>25.38</v>
      </c>
      <c r="G36" s="73" t="str">
        <v>幾何雪花</v>
      </c>
      <c r="H36" s="75">
        <v>26.295999999999999</v>
      </c>
      <c r="I36" s="68"/>
      <c r="J36" s="48" t="str">
        <v>幾何雪花</v>
      </c>
      <c r="K36" s="48" t="str">
        <v>冰</v>
      </c>
      <c r="L36" s="48" t="str">
        <v>Y</v>
      </c>
      <c r="M36" s="48">
        <v>153</v>
      </c>
      <c r="N36" s="48" t="str">
        <v>D</v>
      </c>
      <c r="O36" s="71">
        <v>102816</v>
      </c>
      <c r="P36" s="83">
        <f t="shared" si="0"/>
        <v>0.47105911330049255</v>
      </c>
      <c r="Q36" s="63"/>
      <c r="R36" s="63"/>
      <c r="S36" s="63"/>
      <c r="T36" s="63"/>
      <c r="U36" s="63"/>
      <c r="V36" s="63"/>
      <c r="W36" s="63"/>
      <c r="Y36" s="48" t="s">
        <v>54</v>
      </c>
      <c r="Z36" s="48" t="s">
        <v>36</v>
      </c>
      <c r="AA36" s="48" t="s">
        <v>38</v>
      </c>
      <c r="AB36" s="51">
        <f>數據!P35</f>
        <v>21.172000000000001</v>
      </c>
      <c r="AC36" s="78">
        <f>數據!P34</f>
        <v>22.88</v>
      </c>
      <c r="AD36" s="4" t="s">
        <v>8</v>
      </c>
      <c r="AE36" s="3" t="s">
        <v>100</v>
      </c>
      <c r="AF36" s="3" t="s">
        <v>130</v>
      </c>
      <c r="AG36" s="3">
        <f>_xlfn.XLOOKUP(AD36, 數據!B$2:B$50, 數據!M$2:M$50)</f>
        <v>175</v>
      </c>
      <c r="AH36" s="7" t="s">
        <v>6</v>
      </c>
      <c r="AI36" s="63">
        <f>AG36*IF(AH36="G", 450, IF(AH36="D", 350, 0)) * IF(AF36="Y", 1.2, 1)*(INDEX(屬性克制表!$B$2:$T$20, MATCH(AE36, 屬性克制表!$A$2:$A$20, 0), MATCH($L$1, 屬性克制表!$B$1:$T$1, 0)) * INDEX(屬性克制表!$B$2:$T$20, MATCH(AE36, 屬性克制表!$A$2:$A$20, 0), MATCH($M$1, 屬性克制表!$B$1:$T$1, 0)))</f>
        <v>117600</v>
      </c>
      <c r="AK36" s="48" t="s">
        <v>54</v>
      </c>
      <c r="AL36" s="66">
        <f>AB36/(INDEX(屬性克制表!$B$2:$T$20, MATCH($A$1, 屬性克制表!$A$2:$A$20, 0), MATCH(Z36, 屬性克制表!$B$1:$T$1, 0)) * INDEX(屬性克制表!$B$2:$T$20, MATCH($A$1, 屬性克制表!$A$2:$A$20, 0), MATCH(AA36, 屬性克制表!$B$1:$T$1, 0)))</f>
        <v>54.200320000000005</v>
      </c>
      <c r="AM36" s="48" t="s">
        <v>54</v>
      </c>
      <c r="AN36" s="56">
        <f>AB36/(INDEX(屬性克制表!$B$2:$T$20, MATCH($C$1, 屬性克制表!$A$2:$A$20, 0), MATCH(Z36, 屬性克制表!$B$1:$T$1, 0)) * INDEX(屬性克制表!$B$2:$T$20, MATCH($C$1, 屬性克制表!$A$2:$A$20, 0), MATCH(AA36, 屬性克制表!$B$1:$T$1, 0)))</f>
        <v>21.172000000000001</v>
      </c>
      <c r="AO36" s="48" t="s">
        <v>54</v>
      </c>
      <c r="AP36" s="56">
        <f>AB36/(INDEX(屬性克制表!$B$2:$T$20, MATCH($E$1, 屬性克制表!$A$2:$A$20, 0), MATCH(Z36, 屬性克制表!$B$1:$T$1, 0)) * INDEX(屬性克制表!$B$2:$T$20, MATCH($E$1, 屬性克制表!$A$2:$A$20, 0), MATCH(AA36, 屬性克制表!$B$1:$T$1, 0)))</f>
        <v>21.172000000000001</v>
      </c>
      <c r="AQ36" s="48" t="s">
        <v>54</v>
      </c>
      <c r="AR36" s="56">
        <f>AB36/(INDEX(屬性克制表!$B$2:$T$20, MATCH($G$1, 屬性克制表!$A$2:$A$20, 0), MATCH(Z36, 屬性克制表!$B$1:$T$1, 0)) * INDEX(屬性克制表!$B$2:$T$20, MATCH($G$1, 屬性克制表!$A$2:$A$20, 0), MATCH(AA36, 屬性克制表!$B$1:$T$1, 0)))</f>
        <v>21.172000000000001</v>
      </c>
    </row>
    <row r="37" spans="1:44">
      <c r="A37" s="73" t="str">
        <v>毛毛角羊</v>
      </c>
      <c r="B37" s="75">
        <v>24.882999999999999</v>
      </c>
      <c r="C37" s="73" t="str">
        <v>投擲猴</v>
      </c>
      <c r="D37" s="75">
        <v>24.103999999999999</v>
      </c>
      <c r="E37" s="73" t="str">
        <v>閃電鳥</v>
      </c>
      <c r="F37" s="75">
        <v>25.367999999999999</v>
      </c>
      <c r="G37" s="73" t="str">
        <v>葉伊布</v>
      </c>
      <c r="H37" s="75">
        <v>25.9</v>
      </c>
      <c r="I37" s="68"/>
      <c r="J37" s="48" t="str">
        <v>烏賊王</v>
      </c>
      <c r="K37" s="48" t="str">
        <v>超能力</v>
      </c>
      <c r="L37" s="48" t="str">
        <v>Y</v>
      </c>
      <c r="M37" s="48">
        <v>151</v>
      </c>
      <c r="N37" s="48" t="str">
        <v>D</v>
      </c>
      <c r="O37" s="71">
        <v>101472</v>
      </c>
      <c r="P37" s="83">
        <f t="shared" si="0"/>
        <v>0.46490147783251223</v>
      </c>
      <c r="Q37" s="63"/>
      <c r="R37" s="63"/>
      <c r="S37" s="63"/>
      <c r="T37" s="63"/>
      <c r="U37" s="63"/>
      <c r="V37" s="63"/>
      <c r="W37" s="63"/>
      <c r="Y37" s="48" t="s">
        <v>58</v>
      </c>
      <c r="Z37" s="48" t="s">
        <v>74</v>
      </c>
      <c r="AA37" s="48" t="s">
        <v>43</v>
      </c>
      <c r="AB37" s="51">
        <f>數據!P36</f>
        <v>20.32</v>
      </c>
      <c r="AC37" s="78">
        <f>數據!P35</f>
        <v>21.172000000000001</v>
      </c>
      <c r="AD37" s="4" t="s">
        <v>1</v>
      </c>
      <c r="AE37" s="3" t="s">
        <v>100</v>
      </c>
      <c r="AF37" s="3" t="s">
        <v>130</v>
      </c>
      <c r="AG37" s="3">
        <f>_xlfn.XLOOKUP(AD37, 數據!B$2:B$50, 數據!M$2:M$50)</f>
        <v>205</v>
      </c>
      <c r="AH37" s="7" t="s">
        <v>6</v>
      </c>
      <c r="AI37" s="63">
        <f>AG37*IF(AH37="G", 450, IF(AH37="D", 350, 0)) * IF(AF37="Y", 1.2, 1)*(INDEX(屬性克制表!$B$2:$T$20, MATCH(AE37, 屬性克制表!$A$2:$A$20, 0), MATCH($L$1, 屬性克制表!$B$1:$T$1, 0)) * INDEX(屬性克制表!$B$2:$T$20, MATCH(AE37, 屬性克制表!$A$2:$A$20, 0), MATCH($M$1, 屬性克制表!$B$1:$T$1, 0)))</f>
        <v>137760</v>
      </c>
      <c r="AK37" s="48" t="s">
        <v>58</v>
      </c>
      <c r="AL37" s="66">
        <f>AB37/(INDEX(屬性克制表!$B$2:$T$20, MATCH($A$1, 屬性克制表!$A$2:$A$20, 0), MATCH(Z37, 屬性克制表!$B$1:$T$1, 0)) * INDEX(屬性克制表!$B$2:$T$20, MATCH($A$1, 屬性克制表!$A$2:$A$20, 0), MATCH(AA37, 屬性克制表!$B$1:$T$1, 0)))</f>
        <v>20.32</v>
      </c>
      <c r="AM37" s="48" t="s">
        <v>58</v>
      </c>
      <c r="AN37" s="56">
        <f>AB37/(INDEX(屬性克制表!$B$2:$T$20, MATCH($C$1, 屬性克制表!$A$2:$A$20, 0), MATCH(Z37, 屬性克制表!$B$1:$T$1, 0)) * INDEX(屬性克制表!$B$2:$T$20, MATCH($C$1, 屬性克制表!$A$2:$A$20, 0), MATCH(AA37, 屬性克制表!$B$1:$T$1, 0)))</f>
        <v>51.969309462915596</v>
      </c>
      <c r="AO37" s="48" t="s">
        <v>58</v>
      </c>
      <c r="AP37" s="56">
        <f>AB37/(INDEX(屬性克制表!$B$2:$T$20, MATCH($E$1, 屬性克制表!$A$2:$A$20, 0), MATCH(Z37, 屬性克制表!$B$1:$T$1, 0)) * INDEX(屬性克制表!$B$2:$T$20, MATCH($E$1, 屬性克制表!$A$2:$A$20, 0), MATCH(AA37, 屬性克制表!$B$1:$T$1, 0)))</f>
        <v>20.32</v>
      </c>
      <c r="AQ37" s="48" t="s">
        <v>58</v>
      </c>
      <c r="AR37" s="56">
        <f>AB37/(INDEX(屬性克制表!$B$2:$T$20, MATCH($G$1, 屬性克制表!$A$2:$A$20, 0), MATCH(Z37, 屬性克制表!$B$1:$T$1, 0)) * INDEX(屬性克制表!$B$2:$T$20, MATCH($G$1, 屬性克制表!$A$2:$A$20, 0), MATCH(AA37, 屬性克制表!$B$1:$T$1, 0)))</f>
        <v>20.32</v>
      </c>
    </row>
    <row r="38" spans="1:44">
      <c r="A38" s="73" t="str">
        <v>投擲猴</v>
      </c>
      <c r="B38" s="75">
        <v>24.103999999999999</v>
      </c>
      <c r="C38" s="73" t="str">
        <v>烏賊王</v>
      </c>
      <c r="D38" s="75">
        <v>23.998000000000001</v>
      </c>
      <c r="E38" s="73" t="str">
        <v>毛毛角羊</v>
      </c>
      <c r="F38" s="75">
        <v>24.882999999999999</v>
      </c>
      <c r="G38" s="73" t="str">
        <v>多刺菊石獸</v>
      </c>
      <c r="H38" s="75">
        <v>25.456</v>
      </c>
      <c r="I38" s="68"/>
      <c r="J38" s="48" t="str">
        <v>耿鬼</v>
      </c>
      <c r="K38" s="48" t="str">
        <v>幽靈</v>
      </c>
      <c r="L38" s="48" t="str">
        <v>Y</v>
      </c>
      <c r="M38" s="48">
        <v>223</v>
      </c>
      <c r="N38" s="48" t="str">
        <v>D</v>
      </c>
      <c r="O38" s="71">
        <v>93660</v>
      </c>
      <c r="P38" s="83">
        <f t="shared" si="0"/>
        <v>0.42911022167487678</v>
      </c>
      <c r="Q38" s="63"/>
      <c r="R38" s="63"/>
      <c r="S38" s="63"/>
      <c r="T38" s="63"/>
      <c r="U38" s="63"/>
      <c r="V38" s="63"/>
      <c r="W38" s="63"/>
      <c r="Y38" s="48" t="s">
        <v>69</v>
      </c>
      <c r="Z38" s="48" t="s">
        <v>70</v>
      </c>
      <c r="AA38" s="48" t="s">
        <v>118</v>
      </c>
      <c r="AB38" s="51">
        <f>數據!P37</f>
        <v>19.591000000000001</v>
      </c>
      <c r="AC38" s="78">
        <f>數據!P36</f>
        <v>20.32</v>
      </c>
      <c r="AD38" s="3" t="s">
        <v>53</v>
      </c>
      <c r="AE38" s="4" t="s">
        <v>97</v>
      </c>
      <c r="AF38" s="4" t="s">
        <v>130</v>
      </c>
      <c r="AG38" s="3">
        <f>_xlfn.XLOOKUP(AD38, 數據!B$2:B$50, 數據!M$2:M$50)</f>
        <v>198</v>
      </c>
      <c r="AH38" s="3" t="s">
        <v>6</v>
      </c>
      <c r="AI38" s="63">
        <f>AG38*IF(AH38="G", 450, IF(AH38="D", 350, 0)) * IF(AF38="Y", 1.2, 1)*(INDEX(屬性克制表!$B$2:$T$20, MATCH(AE38, 屬性克制表!$A$2:$A$20, 0), MATCH($L$1, 屬性克制表!$B$1:$T$1, 0)) * INDEX(屬性克制表!$B$2:$T$20, MATCH(AE38, 屬性克制表!$A$2:$A$20, 0), MATCH($M$1, 屬性克制表!$B$1:$T$1, 0)))</f>
        <v>133056</v>
      </c>
      <c r="AK38" s="48" t="s">
        <v>69</v>
      </c>
      <c r="AL38" s="66">
        <f>AB38/(INDEX(屬性克制表!$B$2:$T$20, MATCH($A$1, 屬性克制表!$A$2:$A$20, 0), MATCH(Z38, 屬性克制表!$B$1:$T$1, 0)) * INDEX(屬性克制表!$B$2:$T$20, MATCH($A$1, 屬性克制表!$A$2:$A$20, 0), MATCH(AA38, 屬性克制表!$B$1:$T$1, 0)))</f>
        <v>19.591000000000001</v>
      </c>
      <c r="AM38" s="48" t="s">
        <v>69</v>
      </c>
      <c r="AN38" s="56">
        <f>AB38/(INDEX(屬性克制表!$B$2:$T$20, MATCH($C$1, 屬性克制表!$A$2:$A$20, 0), MATCH(Z38, 屬性克制表!$B$1:$T$1, 0)) * INDEX(屬性克制表!$B$2:$T$20, MATCH($C$1, 屬性克制表!$A$2:$A$20, 0), MATCH(AA38, 屬性克制表!$B$1:$T$1, 0)))</f>
        <v>19.591000000000001</v>
      </c>
      <c r="AO38" s="48" t="s">
        <v>69</v>
      </c>
      <c r="AP38" s="56">
        <f>AB38/(INDEX(屬性克制表!$B$2:$T$20, MATCH($E$1, 屬性克制表!$A$2:$A$20, 0), MATCH(Z38, 屬性克制表!$B$1:$T$1, 0)) * INDEX(屬性克制表!$B$2:$T$20, MATCH($E$1, 屬性克制表!$A$2:$A$20, 0), MATCH(AA38, 屬性克制表!$B$1:$T$1, 0)))</f>
        <v>19.591000000000001</v>
      </c>
      <c r="AQ38" s="48" t="s">
        <v>69</v>
      </c>
      <c r="AR38" s="56">
        <f>AB38/(INDEX(屬性克制表!$B$2:$T$20, MATCH($G$1, 屬性克制表!$A$2:$A$20, 0), MATCH(Z38, 屬性克制表!$B$1:$T$1, 0)) * INDEX(屬性克制表!$B$2:$T$20, MATCH($G$1, 屬性克制表!$A$2:$A$20, 0), MATCH(AA38, 屬性克制表!$B$1:$T$1, 0)))</f>
        <v>19.591000000000001</v>
      </c>
    </row>
    <row r="39" spans="1:44">
      <c r="A39" s="73" t="str">
        <v>沙奈朵</v>
      </c>
      <c r="B39" s="75">
        <v>24.07</v>
      </c>
      <c r="C39" s="73" t="str">
        <v>火焰鳥</v>
      </c>
      <c r="D39" s="75">
        <v>23.797999999999998</v>
      </c>
      <c r="E39" s="73" t="str">
        <v>冰伊布</v>
      </c>
      <c r="F39" s="75">
        <v>24.36</v>
      </c>
      <c r="G39" s="73" t="str">
        <v>怪力</v>
      </c>
      <c r="H39" s="75">
        <v>25.38</v>
      </c>
      <c r="I39" s="68"/>
      <c r="J39" s="48" t="str">
        <v>拉帝歐斯</v>
      </c>
      <c r="K39" s="48" t="str">
        <v>龍</v>
      </c>
      <c r="L39" s="48" t="str">
        <v>Y</v>
      </c>
      <c r="M39" s="48">
        <v>221</v>
      </c>
      <c r="N39" s="48" t="str">
        <v>D</v>
      </c>
      <c r="O39" s="71">
        <v>92820</v>
      </c>
      <c r="P39" s="83">
        <f t="shared" si="0"/>
        <v>0.42526169950738907</v>
      </c>
      <c r="Q39" s="63"/>
      <c r="R39" s="63"/>
      <c r="S39" s="63"/>
      <c r="T39" s="63"/>
      <c r="U39" s="63"/>
      <c r="V39" s="63"/>
      <c r="W39" s="63"/>
      <c r="Y39" s="48" t="s">
        <v>53</v>
      </c>
      <c r="Z39" s="48" t="s">
        <v>99</v>
      </c>
      <c r="AA39" s="48" t="s">
        <v>97</v>
      </c>
      <c r="AB39" s="51">
        <f>數據!P38</f>
        <v>19.84</v>
      </c>
      <c r="AC39" s="78">
        <f>數據!P37</f>
        <v>19.591000000000001</v>
      </c>
      <c r="AD39" s="3" t="s">
        <v>53</v>
      </c>
      <c r="AE39" s="4" t="s">
        <v>99</v>
      </c>
      <c r="AF39" s="4" t="s">
        <v>130</v>
      </c>
      <c r="AG39" s="3">
        <f>_xlfn.XLOOKUP(AD39, 數據!B$2:B$50, 數據!M$2:M$50)</f>
        <v>198</v>
      </c>
      <c r="AH39" s="3" t="s">
        <v>6</v>
      </c>
      <c r="AI39" s="63">
        <f>AG39*IF(AH39="G", 450, IF(AH39="D", 350, 0)) * IF(AF39="Y", 1.2, 1)*(INDEX(屬性克制表!$B$2:$T$20, MATCH(AE39, 屬性克制表!$A$2:$A$20, 0), MATCH($L$1, 屬性克制表!$B$1:$T$1, 0)) * INDEX(屬性克制表!$B$2:$T$20, MATCH(AE39, 屬性克制表!$A$2:$A$20, 0), MATCH($M$1, 屬性克制表!$B$1:$T$1, 0)))</f>
        <v>83160</v>
      </c>
      <c r="AK39" s="48" t="s">
        <v>53</v>
      </c>
      <c r="AL39" s="66">
        <f>AB39/(INDEX(屬性克制表!$B$2:$T$20, MATCH($A$1, 屬性克制表!$A$2:$A$20, 0), MATCH(Z39, 屬性克制表!$B$1:$T$1, 0)) * INDEX(屬性克制表!$B$2:$T$20, MATCH($A$1, 屬性克制表!$A$2:$A$20, 0), MATCH(AA39, 屬性克制表!$B$1:$T$1, 0)))</f>
        <v>19.84</v>
      </c>
      <c r="AM39" s="48" t="s">
        <v>53</v>
      </c>
      <c r="AN39" s="56">
        <f>AB39/(INDEX(屬性克制表!$B$2:$T$20, MATCH($C$1, 屬性克制表!$A$2:$A$20, 0), MATCH(Z39, 屬性克制表!$B$1:$T$1, 0)) * INDEX(屬性克制表!$B$2:$T$20, MATCH($C$1, 屬性克制表!$A$2:$A$20, 0), MATCH(AA39, 屬性克制表!$B$1:$T$1, 0)))</f>
        <v>12.399999999999999</v>
      </c>
      <c r="AO39" s="48" t="s">
        <v>53</v>
      </c>
      <c r="AP39" s="56">
        <f>AB39/(INDEX(屬性克制表!$B$2:$T$20, MATCH($E$1, 屬性克制表!$A$2:$A$20, 0), MATCH(Z39, 屬性克制表!$B$1:$T$1, 0)) * INDEX(屬性克制表!$B$2:$T$20, MATCH($E$1, 屬性克制表!$A$2:$A$20, 0), MATCH(AA39, 屬性克制表!$B$1:$T$1, 0)))</f>
        <v>19.84</v>
      </c>
      <c r="AQ39" s="48" t="s">
        <v>53</v>
      </c>
      <c r="AR39" s="56">
        <f>AB39/(INDEX(屬性克制表!$B$2:$T$20, MATCH($G$1, 屬性克制表!$A$2:$A$20, 0), MATCH(Z39, 屬性克制表!$B$1:$T$1, 0)) * INDEX(屬性克制表!$B$2:$T$20, MATCH($G$1, 屬性克制表!$A$2:$A$20, 0), MATCH(AA39, 屬性克制表!$B$1:$T$1, 0)))</f>
        <v>19.84</v>
      </c>
    </row>
    <row r="40" spans="1:44">
      <c r="A40" s="73" t="str">
        <v>艾路雷朵</v>
      </c>
      <c r="B40" s="75">
        <v>24.07</v>
      </c>
      <c r="C40" s="73" t="str">
        <v>妙蛙花</v>
      </c>
      <c r="D40" s="75">
        <v>23.712</v>
      </c>
      <c r="E40" s="73" t="str">
        <v>投擲猴</v>
      </c>
      <c r="F40" s="75">
        <v>24.103999999999999</v>
      </c>
      <c r="G40" s="73" t="str">
        <v>閃電鳥</v>
      </c>
      <c r="H40" s="75">
        <v>25.367999999999999</v>
      </c>
      <c r="I40" s="68"/>
      <c r="J40" s="48" t="str">
        <v>藏瑪然特</v>
      </c>
      <c r="K40" s="48" t="str">
        <v>鋼</v>
      </c>
      <c r="L40" s="48" t="str">
        <v>Y</v>
      </c>
      <c r="M40" s="48">
        <v>218</v>
      </c>
      <c r="N40" s="48" t="str">
        <v>D</v>
      </c>
      <c r="O40" s="71">
        <v>91560</v>
      </c>
      <c r="P40" s="83">
        <f t="shared" si="0"/>
        <v>0.41948891625615758</v>
      </c>
      <c r="Q40" s="63"/>
      <c r="R40" s="63"/>
      <c r="S40" s="63"/>
      <c r="T40" s="63"/>
      <c r="U40" s="63"/>
      <c r="V40" s="63"/>
      <c r="W40" s="63"/>
      <c r="Y40" s="48" t="s">
        <v>65</v>
      </c>
      <c r="Z40" s="48" t="s">
        <v>42</v>
      </c>
      <c r="AA40" s="48" t="s">
        <v>118</v>
      </c>
      <c r="AB40" s="51">
        <f>數據!P39</f>
        <v>19.3</v>
      </c>
      <c r="AC40" s="78">
        <f>數據!P38</f>
        <v>19.84</v>
      </c>
      <c r="AD40" s="3" t="s">
        <v>24</v>
      </c>
      <c r="AE40" s="4" t="s">
        <v>39</v>
      </c>
      <c r="AF40" s="4" t="s">
        <v>131</v>
      </c>
      <c r="AG40" s="3">
        <f>_xlfn.XLOOKUP(AD40, 數據!B$2:B$50, 數據!M$2:M$50)</f>
        <v>147</v>
      </c>
      <c r="AH40" s="3" t="s">
        <v>6</v>
      </c>
      <c r="AI40" s="63">
        <f>AG40*IF(AH40="G", 450, IF(AH40="D", 350, 0)) * IF(AF40="Y", 1.2, 1)*(INDEX(屬性克制表!$B$2:$T$20, MATCH(AE40, 屬性克制表!$A$2:$A$20, 0), MATCH($L$1, 屬性克制表!$B$1:$T$1, 0)) * INDEX(屬性克制表!$B$2:$T$20, MATCH(AE40, 屬性克制表!$A$2:$A$20, 0), MATCH($M$1, 屬性克制表!$B$1:$T$1, 0)))</f>
        <v>32156.25</v>
      </c>
      <c r="AK40" s="48" t="s">
        <v>65</v>
      </c>
      <c r="AL40" s="66">
        <f>AB40/(INDEX(屬性克制表!$B$2:$T$20, MATCH($A$1, 屬性克制表!$A$2:$A$20, 0), MATCH(Z40, 屬性克制表!$B$1:$T$1, 0)) * INDEX(屬性克制表!$B$2:$T$20, MATCH($A$1, 屬性克制表!$A$2:$A$20, 0), MATCH(AA40, 屬性克制表!$B$1:$T$1, 0)))</f>
        <v>30.880000000000003</v>
      </c>
      <c r="AM40" s="48" t="s">
        <v>65</v>
      </c>
      <c r="AN40" s="56">
        <f>AB40/(INDEX(屬性克制表!$B$2:$T$20, MATCH($C$1, 屬性克制表!$A$2:$A$20, 0), MATCH(Z40, 屬性克制表!$B$1:$T$1, 0)) * INDEX(屬性克制表!$B$2:$T$20, MATCH($C$1, 屬性克制表!$A$2:$A$20, 0), MATCH(AA40, 屬性克制表!$B$1:$T$1, 0)))</f>
        <v>19.3</v>
      </c>
      <c r="AO40" s="48" t="s">
        <v>65</v>
      </c>
      <c r="AP40" s="56">
        <f>AB40/(INDEX(屬性克制表!$B$2:$T$20, MATCH($E$1, 屬性克制表!$A$2:$A$20, 0), MATCH(Z40, 屬性克制表!$B$1:$T$1, 0)) * INDEX(屬性克制表!$B$2:$T$20, MATCH($E$1, 屬性克制表!$A$2:$A$20, 0), MATCH(AA40, 屬性克制表!$B$1:$T$1, 0)))</f>
        <v>12.0625</v>
      </c>
      <c r="AQ40" s="48" t="s">
        <v>65</v>
      </c>
      <c r="AR40" s="56">
        <f>AB40/(INDEX(屬性克制表!$B$2:$T$20, MATCH($G$1, 屬性克制表!$A$2:$A$20, 0), MATCH(Z40, 屬性克制表!$B$1:$T$1, 0)) * INDEX(屬性克制表!$B$2:$T$20, MATCH($G$1, 屬性克制表!$A$2:$A$20, 0), MATCH(AA40, 屬性克制表!$B$1:$T$1, 0)))</f>
        <v>30.880000000000003</v>
      </c>
    </row>
    <row r="41" spans="1:44">
      <c r="A41" s="73" t="str">
        <v>烏賊王</v>
      </c>
      <c r="B41" s="75">
        <v>23.998000000000001</v>
      </c>
      <c r="C41" s="73" t="str">
        <v>龍頭地鼠</v>
      </c>
      <c r="D41" s="75">
        <v>23.69</v>
      </c>
      <c r="E41" s="73" t="str">
        <v>沙奈朵</v>
      </c>
      <c r="F41" s="75">
        <v>24.07</v>
      </c>
      <c r="G41" s="73" t="str">
        <v>甜冷美后</v>
      </c>
      <c r="H41" s="75">
        <v>24.9</v>
      </c>
      <c r="I41" s="68"/>
      <c r="J41" s="48" t="str">
        <v>龍頭地鼠</v>
      </c>
      <c r="K41" s="48" t="str">
        <v>鋼</v>
      </c>
      <c r="L41" s="48" t="str">
        <v>Y</v>
      </c>
      <c r="M41" s="48">
        <v>217</v>
      </c>
      <c r="N41" s="48" t="str">
        <v>D</v>
      </c>
      <c r="O41" s="71">
        <v>91140</v>
      </c>
      <c r="P41" s="83">
        <f t="shared" si="0"/>
        <v>0.4175646551724137</v>
      </c>
      <c r="Q41" s="63"/>
      <c r="R41" s="63"/>
      <c r="S41" s="63"/>
      <c r="T41" s="63"/>
      <c r="U41" s="63"/>
      <c r="V41" s="63"/>
      <c r="W41" s="63"/>
      <c r="Y41" s="48" t="s">
        <v>19</v>
      </c>
      <c r="Z41" s="48" t="s">
        <v>36</v>
      </c>
      <c r="AA41" s="48" t="s">
        <v>118</v>
      </c>
      <c r="AB41" s="51">
        <f>數據!P40</f>
        <v>19.431000000000001</v>
      </c>
      <c r="AC41" s="78">
        <f>數據!P39</f>
        <v>19.3</v>
      </c>
      <c r="AD41" s="3" t="s">
        <v>82</v>
      </c>
      <c r="AE41" s="4" t="s">
        <v>97</v>
      </c>
      <c r="AF41" s="4" t="s">
        <v>130</v>
      </c>
      <c r="AG41" s="3">
        <f>_xlfn.XLOOKUP(AD41, 數據!B$2:B$50, 數據!M$2:M$50)</f>
        <v>158</v>
      </c>
      <c r="AH41" s="3" t="s">
        <v>6</v>
      </c>
      <c r="AI41" s="63">
        <f>AG41*IF(AH41="G", 450, IF(AH41="D", 350, 0)) * IF(AF41="Y", 1.2, 1)*(INDEX(屬性克制表!$B$2:$T$20, MATCH(AE41, 屬性克制表!$A$2:$A$20, 0), MATCH($L$1, 屬性克制表!$B$1:$T$1, 0)) * INDEX(屬性克制表!$B$2:$T$20, MATCH(AE41, 屬性克制表!$A$2:$A$20, 0), MATCH($M$1, 屬性克制表!$B$1:$T$1, 0)))</f>
        <v>106176</v>
      </c>
      <c r="AK41" s="48" t="s">
        <v>19</v>
      </c>
      <c r="AL41" s="66">
        <f>AB41/(INDEX(屬性克制表!$B$2:$T$20, MATCH($A$1, 屬性克制表!$A$2:$A$20, 0), MATCH(Z41, 屬性克制表!$B$1:$T$1, 0)) * INDEX(屬性克制表!$B$2:$T$20, MATCH($A$1, 屬性克制表!$A$2:$A$20, 0), MATCH(AA41, 屬性克制表!$B$1:$T$1, 0)))</f>
        <v>31.089600000000001</v>
      </c>
      <c r="AM41" s="48" t="s">
        <v>19</v>
      </c>
      <c r="AN41" s="56">
        <f>AB41/(INDEX(屬性克制表!$B$2:$T$20, MATCH($C$1, 屬性克制表!$A$2:$A$20, 0), MATCH(Z41, 屬性克制表!$B$1:$T$1, 0)) * INDEX(屬性克制表!$B$2:$T$20, MATCH($C$1, 屬性克制表!$A$2:$A$20, 0), MATCH(AA41, 屬性克制表!$B$1:$T$1, 0)))</f>
        <v>19.431000000000001</v>
      </c>
      <c r="AO41" s="48" t="s">
        <v>19</v>
      </c>
      <c r="AP41" s="56">
        <f>AB41/(INDEX(屬性克制表!$B$2:$T$20, MATCH($E$1, 屬性克制表!$A$2:$A$20, 0), MATCH(Z41, 屬性克制表!$B$1:$T$1, 0)) * INDEX(屬性克制表!$B$2:$T$20, MATCH($E$1, 屬性克制表!$A$2:$A$20, 0), MATCH(AA41, 屬性克制表!$B$1:$T$1, 0)))</f>
        <v>31.089600000000001</v>
      </c>
      <c r="AQ41" s="48" t="s">
        <v>19</v>
      </c>
      <c r="AR41" s="56">
        <f>AB41/(INDEX(屬性克制表!$B$2:$T$20, MATCH($G$1, 屬性克制表!$A$2:$A$20, 0), MATCH(Z41, 屬性克制表!$B$1:$T$1, 0)) * INDEX(屬性克制表!$B$2:$T$20, MATCH($G$1, 屬性克制表!$A$2:$A$20, 0), MATCH(AA41, 屬性克制表!$B$1:$T$1, 0)))</f>
        <v>19.431000000000001</v>
      </c>
    </row>
    <row r="42" spans="1:44">
      <c r="A42" s="73" t="str">
        <v>鋁鋼龍</v>
      </c>
      <c r="B42" s="75">
        <v>23.225999999999999</v>
      </c>
      <c r="C42" s="73" t="str">
        <v>炎帝</v>
      </c>
      <c r="D42" s="75">
        <v>23.552</v>
      </c>
      <c r="E42" s="73" t="str">
        <v>艾路雷朵</v>
      </c>
      <c r="F42" s="75">
        <v>24.07</v>
      </c>
      <c r="G42" s="73" t="str">
        <v>毛毛角羊</v>
      </c>
      <c r="H42" s="75">
        <v>24.882999999999999</v>
      </c>
      <c r="I42" s="68"/>
      <c r="J42" s="48" t="str">
        <v>巨金怪</v>
      </c>
      <c r="K42" s="48" t="str">
        <v>鋼</v>
      </c>
      <c r="L42" s="48" t="str">
        <v>Y</v>
      </c>
      <c r="M42" s="48">
        <v>214</v>
      </c>
      <c r="N42" s="48" t="str">
        <v>D</v>
      </c>
      <c r="O42" s="71">
        <v>89880</v>
      </c>
      <c r="P42" s="83">
        <f t="shared" si="0"/>
        <v>0.41179187192118222</v>
      </c>
      <c r="Q42" s="63"/>
      <c r="R42" s="63"/>
      <c r="S42" s="63"/>
      <c r="T42" s="63"/>
      <c r="U42" s="63"/>
      <c r="V42" s="63"/>
      <c r="W42" s="63"/>
      <c r="Y42" s="48" t="s">
        <v>92</v>
      </c>
      <c r="Z42" s="48" t="s">
        <v>77</v>
      </c>
      <c r="AA42" s="48" t="s">
        <v>80</v>
      </c>
      <c r="AB42" s="51">
        <f>數據!P41</f>
        <v>18.634</v>
      </c>
      <c r="AC42" s="78">
        <f>數據!P40</f>
        <v>19.431000000000001</v>
      </c>
      <c r="AD42" s="3" t="s">
        <v>82</v>
      </c>
      <c r="AE42" s="4" t="s">
        <v>45</v>
      </c>
      <c r="AF42" s="4" t="s">
        <v>130</v>
      </c>
      <c r="AG42" s="3">
        <f>_xlfn.XLOOKUP(AD42, 數據!B$2:B$50, 數據!M$2:M$50)</f>
        <v>158</v>
      </c>
      <c r="AH42" s="3" t="s">
        <v>6</v>
      </c>
      <c r="AI42" s="63">
        <f>AG42*IF(AH42="G", 450, IF(AH42="D", 350, 0)) * IF(AF42="Y", 1.2, 1)*(INDEX(屬性克制表!$B$2:$T$20, MATCH(AE42, 屬性克制表!$A$2:$A$20, 0), MATCH($L$1, 屬性克制表!$B$1:$T$1, 0)) * INDEX(屬性克制表!$B$2:$T$20, MATCH(AE42, 屬性克制表!$A$2:$A$20, 0), MATCH($M$1, 屬性克制表!$B$1:$T$1, 0)))</f>
        <v>66360</v>
      </c>
      <c r="AK42" s="48" t="s">
        <v>92</v>
      </c>
      <c r="AL42" s="66">
        <f>AB42/(INDEX(屬性克制表!$B$2:$T$20, MATCH($A$1, 屬性克制表!$A$2:$A$20, 0), MATCH(Z42, 屬性克制表!$B$1:$T$1, 0)) * INDEX(屬性克制表!$B$2:$T$20, MATCH($A$1, 屬性克制表!$A$2:$A$20, 0), MATCH(AA42, 屬性克制表!$B$1:$T$1, 0)))</f>
        <v>18.634</v>
      </c>
      <c r="AM42" s="48" t="s">
        <v>92</v>
      </c>
      <c r="AN42" s="56">
        <f>AB42/(INDEX(屬性克制表!$B$2:$T$20, MATCH($C$1, 屬性克制表!$A$2:$A$20, 0), MATCH(Z42, 屬性克制表!$B$1:$T$1, 0)) * INDEX(屬性克制表!$B$2:$T$20, MATCH($C$1, 屬性克制表!$A$2:$A$20, 0), MATCH(AA42, 屬性克制表!$B$1:$T$1, 0)))</f>
        <v>18.634</v>
      </c>
      <c r="AO42" s="48" t="s">
        <v>92</v>
      </c>
      <c r="AP42" s="56">
        <f>AB42/(INDEX(屬性克制表!$B$2:$T$20, MATCH($E$1, 屬性克制表!$A$2:$A$20, 0), MATCH(Z42, 屬性克制表!$B$1:$T$1, 0)) * INDEX(屬性克制表!$B$2:$T$20, MATCH($E$1, 屬性克制表!$A$2:$A$20, 0), MATCH(AA42, 屬性克制表!$B$1:$T$1, 0)))</f>
        <v>18.634</v>
      </c>
      <c r="AQ42" s="48" t="s">
        <v>92</v>
      </c>
      <c r="AR42" s="56">
        <f>AB42/(INDEX(屬性克制表!$B$2:$T$20, MATCH($G$1, 屬性克制表!$A$2:$A$20, 0), MATCH(Z42, 屬性克制表!$B$1:$T$1, 0)) * INDEX(屬性克制表!$B$2:$T$20, MATCH($G$1, 屬性克制表!$A$2:$A$20, 0), MATCH(AA42, 屬性克制表!$B$1:$T$1, 0)))</f>
        <v>29.814399999999999</v>
      </c>
    </row>
    <row r="43" spans="1:44">
      <c r="A43" s="73" t="str">
        <v>蒼響</v>
      </c>
      <c r="B43" s="75">
        <v>23.030624999999997</v>
      </c>
      <c r="C43" s="73" t="str">
        <v>鋁鋼龍</v>
      </c>
      <c r="D43" s="75">
        <v>23.225999999999999</v>
      </c>
      <c r="E43" s="73" t="str">
        <v>烏賊王</v>
      </c>
      <c r="F43" s="75">
        <v>23.998000000000001</v>
      </c>
      <c r="G43" s="73" t="str">
        <v>冰伊布</v>
      </c>
      <c r="H43" s="75">
        <v>24.36</v>
      </c>
      <c r="I43" s="68"/>
      <c r="J43" s="48" t="str">
        <v>武道熊師(連)</v>
      </c>
      <c r="K43" s="48" t="str">
        <v>格鬥</v>
      </c>
      <c r="L43" s="48" t="str">
        <v>Y</v>
      </c>
      <c r="M43" s="48">
        <v>210</v>
      </c>
      <c r="N43" s="48" t="str">
        <v>D</v>
      </c>
      <c r="O43" s="71">
        <v>88200</v>
      </c>
      <c r="P43" s="83">
        <f t="shared" si="0"/>
        <v>0.40409482758620685</v>
      </c>
      <c r="Q43" s="63"/>
      <c r="R43" s="63"/>
      <c r="S43" s="63"/>
      <c r="T43" s="63"/>
      <c r="U43" s="63"/>
      <c r="V43" s="63"/>
      <c r="W43" s="63"/>
      <c r="Y43" s="48" t="s">
        <v>17</v>
      </c>
      <c r="Z43" s="48" t="s">
        <v>36</v>
      </c>
      <c r="AA43" s="48" t="s">
        <v>118</v>
      </c>
      <c r="AB43" s="51">
        <f>數據!P42</f>
        <v>18.081</v>
      </c>
      <c r="AC43" s="78">
        <f>數據!P41</f>
        <v>18.634</v>
      </c>
      <c r="AD43" s="3" t="s">
        <v>25</v>
      </c>
      <c r="AE43" s="4" t="s">
        <v>39</v>
      </c>
      <c r="AF43" s="4" t="s">
        <v>131</v>
      </c>
      <c r="AG43" s="3">
        <f>_xlfn.XLOOKUP(AD43, 數據!B$2:B$50, 數據!M$2:M$50)</f>
        <v>145</v>
      </c>
      <c r="AH43" s="3" t="s">
        <v>6</v>
      </c>
      <c r="AI43" s="63">
        <f>AG43*IF(AH43="G", 450, IF(AH43="D", 350, 0)) * IF(AF43="Y", 1.2, 1)*(INDEX(屬性克制表!$B$2:$T$20, MATCH(AE43, 屬性克制表!$A$2:$A$20, 0), MATCH($L$1, 屬性克制表!$B$1:$T$1, 0)) * INDEX(屬性克制表!$B$2:$T$20, MATCH(AE43, 屬性克制表!$A$2:$A$20, 0), MATCH($M$1, 屬性克制表!$B$1:$T$1, 0)))</f>
        <v>31718.75</v>
      </c>
      <c r="AK43" s="48" t="s">
        <v>17</v>
      </c>
      <c r="AL43" s="66">
        <f>AB43/(INDEX(屬性克制表!$B$2:$T$20, MATCH($A$1, 屬性克制表!$A$2:$A$20, 0), MATCH(Z43, 屬性克制表!$B$1:$T$1, 0)) * INDEX(屬性克制表!$B$2:$T$20, MATCH($A$1, 屬性克制表!$A$2:$A$20, 0), MATCH(AA43, 屬性克制表!$B$1:$T$1, 0)))</f>
        <v>28.929600000000001</v>
      </c>
      <c r="AM43" s="48" t="s">
        <v>17</v>
      </c>
      <c r="AN43" s="56">
        <f>AB43/(INDEX(屬性克制表!$B$2:$T$20, MATCH($C$1, 屬性克制表!$A$2:$A$20, 0), MATCH(Z43, 屬性克制表!$B$1:$T$1, 0)) * INDEX(屬性克制表!$B$2:$T$20, MATCH($C$1, 屬性克制表!$A$2:$A$20, 0), MATCH(AA43, 屬性克制表!$B$1:$T$1, 0)))</f>
        <v>18.081</v>
      </c>
      <c r="AO43" s="48" t="s">
        <v>17</v>
      </c>
      <c r="AP43" s="56">
        <f>AB43/(INDEX(屬性克制表!$B$2:$T$20, MATCH($E$1, 屬性克制表!$A$2:$A$20, 0), MATCH(Z43, 屬性克制表!$B$1:$T$1, 0)) * INDEX(屬性克制表!$B$2:$T$20, MATCH($E$1, 屬性克制表!$A$2:$A$20, 0), MATCH(AA43, 屬性克制表!$B$1:$T$1, 0)))</f>
        <v>28.929600000000001</v>
      </c>
      <c r="AQ43" s="48" t="s">
        <v>17</v>
      </c>
      <c r="AR43" s="56">
        <f>AB43/(INDEX(屬性克制表!$B$2:$T$20, MATCH($G$1, 屬性克制表!$A$2:$A$20, 0), MATCH(Z43, 屬性克制表!$B$1:$T$1, 0)) * INDEX(屬性克制表!$B$2:$T$20, MATCH($G$1, 屬性克制表!$A$2:$A$20, 0), MATCH(AA43, 屬性克制表!$B$1:$T$1, 0)))</f>
        <v>18.081</v>
      </c>
    </row>
    <row r="44" spans="1:44">
      <c r="A44" s="73" t="str">
        <v>灰塵山</v>
      </c>
      <c r="B44" s="75">
        <v>22.68</v>
      </c>
      <c r="C44" s="73" t="str">
        <v>吼鯨王</v>
      </c>
      <c r="D44" s="75">
        <v>22.88</v>
      </c>
      <c r="E44" s="73" t="str">
        <v>灰塵山</v>
      </c>
      <c r="F44" s="75">
        <v>22.68</v>
      </c>
      <c r="G44" s="73" t="str">
        <v>投擲猴</v>
      </c>
      <c r="H44" s="75">
        <v>24.103999999999999</v>
      </c>
      <c r="I44" s="68"/>
      <c r="J44" s="48" t="str">
        <v>怪力</v>
      </c>
      <c r="K44" s="48" t="str">
        <v>格鬥</v>
      </c>
      <c r="L44" s="48" t="str">
        <v>Y</v>
      </c>
      <c r="M44" s="48">
        <v>201</v>
      </c>
      <c r="N44" s="48" t="str">
        <v>D</v>
      </c>
      <c r="O44" s="71">
        <v>84420</v>
      </c>
      <c r="P44" s="83">
        <f t="shared" si="0"/>
        <v>0.38677647783251223</v>
      </c>
      <c r="Q44" s="63"/>
      <c r="R44" s="63"/>
      <c r="S44" s="63"/>
      <c r="T44" s="63"/>
      <c r="U44" s="63"/>
      <c r="V44" s="63"/>
      <c r="W44" s="63"/>
      <c r="Y44" s="48" t="s">
        <v>48</v>
      </c>
      <c r="Z44" s="60" t="s">
        <v>72</v>
      </c>
      <c r="AA44" s="60" t="s">
        <v>80</v>
      </c>
      <c r="AB44" s="51">
        <f>數據!P43</f>
        <v>18.224</v>
      </c>
      <c r="AC44" s="78">
        <f>數據!P42</f>
        <v>18.081</v>
      </c>
      <c r="AD44" s="3" t="s">
        <v>58</v>
      </c>
      <c r="AE44" s="3" t="s">
        <v>43</v>
      </c>
      <c r="AF44" s="3" t="s">
        <v>130</v>
      </c>
      <c r="AG44" s="3">
        <f>_xlfn.XLOOKUP(AD44, 數據!B$2:B$50, 數據!M$2:M$50)</f>
        <v>188</v>
      </c>
      <c r="AH44" s="3" t="s">
        <v>6</v>
      </c>
      <c r="AI44" s="63">
        <f>AG44*IF(AH44="G", 450, IF(AH44="D", 350, 0)) * IF(AF44="Y", 1.2, 1)*(INDEX(屬性克制表!$B$2:$T$20, MATCH(AE44, 屬性克制表!$A$2:$A$20, 0), MATCH($L$1, 屬性克制表!$B$1:$T$1, 0)) * INDEX(屬性克制表!$B$2:$T$20, MATCH(AE44, 屬性克制表!$A$2:$A$20, 0), MATCH($M$1, 屬性克制表!$B$1:$T$1, 0)))</f>
        <v>202137.60000000003</v>
      </c>
      <c r="AK44" s="48" t="s">
        <v>48</v>
      </c>
      <c r="AL44" s="66">
        <f>AB44/(INDEX(屬性克制表!$B$2:$T$20, MATCH($A$1, 屬性克制表!$A$2:$A$20, 0), MATCH(Z44, 屬性克制表!$B$1:$T$1, 0)) * INDEX(屬性克制表!$B$2:$T$20, MATCH($A$1, 屬性克制表!$A$2:$A$20, 0), MATCH(AA44, 屬性克制表!$B$1:$T$1, 0)))</f>
        <v>18.224</v>
      </c>
      <c r="AM44" s="48" t="s">
        <v>48</v>
      </c>
      <c r="AN44" s="56">
        <f>AB44/(INDEX(屬性克制表!$B$2:$T$20, MATCH($C$1, 屬性克制表!$A$2:$A$20, 0), MATCH(Z44, 屬性克制表!$B$1:$T$1, 0)) * INDEX(屬性克制表!$B$2:$T$20, MATCH($C$1, 屬性克制表!$A$2:$A$20, 0), MATCH(AA44, 屬性克制表!$B$1:$T$1, 0)))</f>
        <v>11.389999999999999</v>
      </c>
      <c r="AO44" s="48" t="s">
        <v>48</v>
      </c>
      <c r="AP44" s="56">
        <f>AB44/(INDEX(屬性克制表!$B$2:$T$20, MATCH($E$1, 屬性克制表!$A$2:$A$20, 0), MATCH(Z44, 屬性克制表!$B$1:$T$1, 0)) * INDEX(屬性克制表!$B$2:$T$20, MATCH($E$1, 屬性克制表!$A$2:$A$20, 0), MATCH(AA44, 屬性克制表!$B$1:$T$1, 0)))</f>
        <v>18.224</v>
      </c>
      <c r="AQ44" s="48" t="s">
        <v>48</v>
      </c>
      <c r="AR44" s="56">
        <f>AB44/(INDEX(屬性克制表!$B$2:$T$20, MATCH($G$1, 屬性克制表!$A$2:$A$20, 0), MATCH(Z44, 屬性克制表!$B$1:$T$1, 0)) * INDEX(屬性克制表!$B$2:$T$20, MATCH($G$1, 屬性克制表!$A$2:$A$20, 0), MATCH(AA44, 屬性克制表!$B$1:$T$1, 0)))</f>
        <v>29.1584</v>
      </c>
    </row>
    <row r="45" spans="1:44">
      <c r="A45" s="73" t="str">
        <v>超極巨灰塵山</v>
      </c>
      <c r="B45" s="75">
        <v>22.4</v>
      </c>
      <c r="C45" s="73" t="str">
        <v>灰塵山</v>
      </c>
      <c r="D45" s="75">
        <v>22.68</v>
      </c>
      <c r="E45" s="73" t="str">
        <v>超極巨灰塵山</v>
      </c>
      <c r="F45" s="75">
        <v>22.4</v>
      </c>
      <c r="G45" s="73" t="str">
        <v>沙奈朵</v>
      </c>
      <c r="H45" s="75">
        <v>24.07</v>
      </c>
      <c r="I45" s="68"/>
      <c r="J45" s="48" t="str">
        <v>鋁鋼龍</v>
      </c>
      <c r="K45" s="48" t="str">
        <v>鋼</v>
      </c>
      <c r="L45" s="48" t="str">
        <v>Y</v>
      </c>
      <c r="M45" s="48">
        <v>201</v>
      </c>
      <c r="N45" s="48" t="str">
        <v>D</v>
      </c>
      <c r="O45" s="71">
        <v>84420</v>
      </c>
      <c r="P45" s="83">
        <f t="shared" si="0"/>
        <v>0.38677647783251223</v>
      </c>
      <c r="Q45" s="63"/>
      <c r="R45" s="63"/>
      <c r="S45" s="63"/>
      <c r="T45" s="63"/>
      <c r="U45" s="63"/>
      <c r="V45" s="63"/>
      <c r="W45" s="63"/>
      <c r="Y45" s="48" t="s">
        <v>34</v>
      </c>
      <c r="Z45" s="48" t="s">
        <v>46</v>
      </c>
      <c r="AA45" s="48" t="s">
        <v>96</v>
      </c>
      <c r="AB45" s="51">
        <f>數據!P44</f>
        <v>15.827</v>
      </c>
      <c r="AC45" s="78">
        <f>數據!P43</f>
        <v>18.224</v>
      </c>
      <c r="AD45" s="3" t="s">
        <v>92</v>
      </c>
      <c r="AE45" s="3" t="s">
        <v>80</v>
      </c>
      <c r="AF45" s="3" t="s">
        <v>130</v>
      </c>
      <c r="AG45" s="3">
        <f>_xlfn.XLOOKUP(AD45, 數據!B$2:B$50, 數據!M$2:M$50)</f>
        <v>188</v>
      </c>
      <c r="AH45" s="3" t="s">
        <v>6</v>
      </c>
      <c r="AI45" s="63">
        <f>AG45*IF(AH45="G", 450, IF(AH45="D", 350, 0)) * IF(AF45="Y", 1.2, 1)*(INDEX(屬性克制表!$B$2:$T$20, MATCH(AE45, 屬性克制表!$A$2:$A$20, 0), MATCH($L$1, 屬性克制表!$B$1:$T$1, 0)) * INDEX(屬性克制表!$B$2:$T$20, MATCH(AE45, 屬性克制表!$A$2:$A$20, 0), MATCH($M$1, 屬性克制表!$B$1:$T$1, 0)))</f>
        <v>126336</v>
      </c>
      <c r="AK45" s="48" t="s">
        <v>34</v>
      </c>
      <c r="AL45" s="66">
        <f>AB45/(INDEX(屬性克制表!$B$2:$T$20, MATCH($A$1, 屬性克制表!$A$2:$A$20, 0), MATCH(Z45, 屬性克制表!$B$1:$T$1, 0)) * INDEX(屬性克制表!$B$2:$T$20, MATCH($A$1, 屬性克制表!$A$2:$A$20, 0), MATCH(AA45, 屬性克制表!$B$1:$T$1, 0)))</f>
        <v>9.8918749999999989</v>
      </c>
      <c r="AM45" s="48" t="s">
        <v>34</v>
      </c>
      <c r="AN45" s="56">
        <f>AB45/(INDEX(屬性克制表!$B$2:$T$20, MATCH($C$1, 屬性克制表!$A$2:$A$20, 0), MATCH(Z45, 屬性克制表!$B$1:$T$1, 0)) * INDEX(屬性克制表!$B$2:$T$20, MATCH($C$1, 屬性克制表!$A$2:$A$20, 0), MATCH(AA45, 屬性克制表!$B$1:$T$1, 0)))</f>
        <v>15.827</v>
      </c>
      <c r="AO45" s="48" t="s">
        <v>34</v>
      </c>
      <c r="AP45" s="56">
        <f>AB45/(INDEX(屬性克制表!$B$2:$T$20, MATCH($E$1, 屬性克制表!$A$2:$A$20, 0), MATCH(Z45, 屬性克制表!$B$1:$T$1, 0)) * INDEX(屬性克制表!$B$2:$T$20, MATCH($E$1, 屬性克制表!$A$2:$A$20, 0), MATCH(AA45, 屬性克制表!$B$1:$T$1, 0)))</f>
        <v>15.827</v>
      </c>
      <c r="AQ45" s="48" t="s">
        <v>34</v>
      </c>
      <c r="AR45" s="56">
        <f>AB45/(INDEX(屬性克制表!$B$2:$T$20, MATCH($G$1, 屬性克制表!$A$2:$A$20, 0), MATCH(Z45, 屬性克制表!$B$1:$T$1, 0)) * INDEX(屬性克制表!$B$2:$T$20, MATCH($G$1, 屬性克制表!$A$2:$A$20, 0), MATCH(AA45, 屬性克制表!$B$1:$T$1, 0)))</f>
        <v>15.827</v>
      </c>
    </row>
    <row r="46" spans="1:44">
      <c r="A46" s="73" t="str">
        <v>雷伊布</v>
      </c>
      <c r="B46" s="75">
        <v>21.84</v>
      </c>
      <c r="C46" s="73" t="str">
        <v>噴火龍</v>
      </c>
      <c r="D46" s="75">
        <v>22.62</v>
      </c>
      <c r="E46" s="73" t="str">
        <v>雷伊布</v>
      </c>
      <c r="F46" s="75">
        <v>21.84</v>
      </c>
      <c r="G46" s="73" t="str">
        <v>艾路雷朵</v>
      </c>
      <c r="H46" s="75">
        <v>24.07</v>
      </c>
      <c r="I46" s="68"/>
      <c r="J46" s="48" t="str">
        <v>鋁鋼龍</v>
      </c>
      <c r="K46" s="48" t="str">
        <v>龍</v>
      </c>
      <c r="L46" s="48" t="str">
        <v>Y</v>
      </c>
      <c r="M46" s="48">
        <v>201</v>
      </c>
      <c r="N46" s="48" t="str">
        <v>D</v>
      </c>
      <c r="O46" s="71">
        <v>84420</v>
      </c>
      <c r="P46" s="83">
        <f t="shared" si="0"/>
        <v>0.38677647783251223</v>
      </c>
      <c r="Q46" s="63"/>
      <c r="R46" s="63"/>
      <c r="S46" s="63"/>
      <c r="T46" s="63"/>
      <c r="U46" s="63"/>
      <c r="V46" s="63"/>
      <c r="W46" s="63"/>
      <c r="Y46" s="48" t="s">
        <v>50</v>
      </c>
      <c r="Z46" s="48" t="s">
        <v>72</v>
      </c>
      <c r="AA46" s="48" t="s">
        <v>37</v>
      </c>
      <c r="AB46" s="51">
        <f>數據!P45</f>
        <v>13.688000000000001</v>
      </c>
      <c r="AC46" s="78">
        <f>數據!P44</f>
        <v>15.827</v>
      </c>
      <c r="AD46" s="3" t="s">
        <v>0</v>
      </c>
      <c r="AE46" s="3" t="s">
        <v>43</v>
      </c>
      <c r="AF46" s="3" t="s">
        <v>130</v>
      </c>
      <c r="AG46" s="3">
        <f>_xlfn.XLOOKUP(AD46, 數據!B$2:B$50, 數據!M$2:M$50)</f>
        <v>187</v>
      </c>
      <c r="AH46" s="3" t="s">
        <v>6</v>
      </c>
      <c r="AI46" s="63">
        <f>AG46*IF(AH46="G", 450, IF(AH46="D", 350, 0)) * IF(AF46="Y", 1.2, 1)*(INDEX(屬性克制表!$B$2:$T$20, MATCH(AE46, 屬性克制表!$A$2:$A$20, 0), MATCH($L$1, 屬性克制表!$B$1:$T$1, 0)) * INDEX(屬性克制表!$B$2:$T$20, MATCH(AE46, 屬性克制表!$A$2:$A$20, 0), MATCH($M$1, 屬性克制表!$B$1:$T$1, 0)))</f>
        <v>201062.40000000005</v>
      </c>
      <c r="AK46" s="48" t="s">
        <v>50</v>
      </c>
      <c r="AL46" s="66">
        <f>AB46/(INDEX(屬性克制表!$B$2:$T$20, MATCH($A$1, 屬性克制表!$A$2:$A$20, 0), MATCH(Z46, 屬性克制表!$B$1:$T$1, 0)) * INDEX(屬性克制表!$B$2:$T$20, MATCH($A$1, 屬性克制表!$A$2:$A$20, 0), MATCH(AA46, 屬性克制表!$B$1:$T$1, 0)))</f>
        <v>13.688000000000001</v>
      </c>
      <c r="AM46" s="53" t="s">
        <v>50</v>
      </c>
      <c r="AN46" s="56">
        <f>AB46/(INDEX(屬性克制表!$B$2:$T$20, MATCH($C$1, 屬性克制表!$A$2:$A$20, 0), MATCH(Z46, 屬性克制表!$B$1:$T$1, 0)) * INDEX(屬性克制表!$B$2:$T$20, MATCH($C$1, 屬性克制表!$A$2:$A$20, 0), MATCH(AA46, 屬性克制表!$B$1:$T$1, 0)))</f>
        <v>13.688000000000001</v>
      </c>
      <c r="AO46" s="53" t="s">
        <v>50</v>
      </c>
      <c r="AP46" s="56">
        <f>AB46/(INDEX(屬性克制表!$B$2:$T$20, MATCH($E$1, 屬性克制表!$A$2:$A$20, 0), MATCH(Z46, 屬性克制表!$B$1:$T$1, 0)) * INDEX(屬性克制表!$B$2:$T$20, MATCH($E$1, 屬性克制表!$A$2:$A$20, 0), MATCH(AA46, 屬性克制表!$B$1:$T$1, 0)))</f>
        <v>13.688000000000001</v>
      </c>
      <c r="AQ46" s="53" t="s">
        <v>50</v>
      </c>
      <c r="AR46" s="56">
        <f>AB46/(INDEX(屬性克制表!$B$2:$T$20, MATCH($G$1, 屬性克制表!$A$2:$A$20, 0), MATCH(Z46, 屬性克制表!$B$1:$T$1, 0)) * INDEX(屬性克制表!$B$2:$T$20, MATCH($G$1, 屬性克制表!$A$2:$A$20, 0), MATCH(AA46, 屬性克制表!$B$1:$T$1, 0)))</f>
        <v>8.5549999999999997</v>
      </c>
    </row>
    <row r="47" spans="1:44">
      <c r="A47" s="73" t="str">
        <v>太陽伊布</v>
      </c>
      <c r="B47" s="75">
        <v>21</v>
      </c>
      <c r="C47" s="73" t="str">
        <v>超極巨灰塵山</v>
      </c>
      <c r="D47" s="75">
        <v>22.4</v>
      </c>
      <c r="E47" s="73" t="str">
        <v>鐮刀盔</v>
      </c>
      <c r="F47" s="75">
        <v>21.172000000000001</v>
      </c>
      <c r="G47" s="73" t="str">
        <v>鋁鋼龍</v>
      </c>
      <c r="H47" s="75">
        <v>23.225999999999999</v>
      </c>
      <c r="J47" s="48" t="str">
        <v>沙奈朵</v>
      </c>
      <c r="K47" s="48" t="str">
        <v>妖精</v>
      </c>
      <c r="L47" s="48" t="str">
        <v>Y</v>
      </c>
      <c r="M47" s="48">
        <v>199</v>
      </c>
      <c r="N47" s="48" t="str">
        <v>D</v>
      </c>
      <c r="O47" s="71">
        <v>83580</v>
      </c>
      <c r="P47" s="83">
        <f t="shared" si="0"/>
        <v>0.38292795566502458</v>
      </c>
      <c r="Q47" s="63"/>
      <c r="R47" s="63"/>
      <c r="S47" s="63"/>
      <c r="T47" s="63"/>
      <c r="U47" s="63"/>
      <c r="V47" s="63"/>
      <c r="W47" s="63"/>
      <c r="Y47" s="79" t="str">
        <f>數據!B46</f>
        <v>胡地</v>
      </c>
      <c r="Z47" s="79" t="str">
        <f>數據!C46</f>
        <v>超能力</v>
      </c>
      <c r="AA47" s="79" t="str">
        <f>數據!D46</f>
        <v>無</v>
      </c>
      <c r="AB47" s="51">
        <f>數據!P46</f>
        <v>18.288</v>
      </c>
      <c r="AC47" s="78">
        <f>數據!P45</f>
        <v>13.688000000000001</v>
      </c>
      <c r="AD47" s="4" t="s">
        <v>0</v>
      </c>
      <c r="AE47" s="3" t="s">
        <v>100</v>
      </c>
      <c r="AF47" s="3" t="s">
        <v>130</v>
      </c>
      <c r="AG47" s="3">
        <f>_xlfn.XLOOKUP(AD47, 數據!B$2:B$50, 數據!M$2:M$50)</f>
        <v>187</v>
      </c>
      <c r="AH47" s="7" t="s">
        <v>6</v>
      </c>
      <c r="AI47" s="63">
        <f>AG47*IF(AH47="G", 450, IF(AH47="D", 350, 0)) * IF(AF47="Y", 1.2, 1)*(INDEX(屬性克制表!$B$2:$T$20, MATCH(AE47, 屬性克制表!$A$2:$A$20, 0), MATCH($L$1, 屬性克制表!$B$1:$T$1, 0)) * INDEX(屬性克制表!$B$2:$T$20, MATCH(AE47, 屬性克制表!$A$2:$A$20, 0), MATCH($M$1, 屬性克制表!$B$1:$T$1, 0)))</f>
        <v>125664</v>
      </c>
      <c r="AK47" s="71" t="str">
        <f t="shared" ref="AK47:AK62" si="1">Y47</f>
        <v>胡地</v>
      </c>
      <c r="AL47" s="66">
        <f>AB47/(INDEX(屬性克制表!$B$2:$T$20, MATCH($A$1, 屬性克制表!$A$2:$A$20, 0), MATCH(Z47, 屬性克制表!$B$1:$T$1, 0)) * INDEX(屬性克制表!$B$2:$T$20, MATCH($A$1, 屬性克制表!$A$2:$A$20, 0), MATCH(AA47, 屬性克制表!$B$1:$T$1, 0)))</f>
        <v>18.288</v>
      </c>
      <c r="AM47" s="71" t="str">
        <f t="shared" ref="AM47:AM62" si="2">Y47</f>
        <v>胡地</v>
      </c>
      <c r="AN47" s="56">
        <f>AB47/(INDEX(屬性克制表!$B$2:$T$20, MATCH($C$1, 屬性克制表!$A$2:$A$20, 0), MATCH(Z47, 屬性克制表!$B$1:$T$1, 0)) * INDEX(屬性克制表!$B$2:$T$20, MATCH($C$1, 屬性克制表!$A$2:$A$20, 0), MATCH(AA47, 屬性克制表!$B$1:$T$1, 0)))</f>
        <v>11.43</v>
      </c>
      <c r="AO47" s="71" t="str">
        <f t="shared" ref="AO47:AO62" si="3">Y47</f>
        <v>胡地</v>
      </c>
      <c r="AP47" s="56">
        <f>AB47/(INDEX(屬性克制表!$B$2:$T$20, MATCH($E$1, 屬性克制表!$A$2:$A$20, 0), MATCH(Z47, 屬性克制表!$B$1:$T$1, 0)) * INDEX(屬性克制表!$B$2:$T$20, MATCH($E$1, 屬性克制表!$A$2:$A$20, 0), MATCH(AA47, 屬性克制表!$B$1:$T$1, 0)))</f>
        <v>18.288</v>
      </c>
      <c r="AQ47" s="71" t="str">
        <f t="shared" ref="AQ47:AQ62" si="4">Y47</f>
        <v>胡地</v>
      </c>
      <c r="AR47" s="56">
        <f>AB47/(INDEX(屬性克制表!$B$2:$T$20, MATCH($G$1, 屬性克制表!$A$2:$A$20, 0), MATCH(Z47, 屬性克制表!$B$1:$T$1, 0)) * INDEX(屬性克制表!$B$2:$T$20, MATCH($G$1, 屬性克制表!$A$2:$A$20, 0), MATCH(AA47, 屬性克制表!$B$1:$T$1, 0)))</f>
        <v>18.288</v>
      </c>
    </row>
    <row r="48" spans="1:44">
      <c r="A48" s="73" t="str">
        <v>高傲雉雞</v>
      </c>
      <c r="B48" s="75">
        <v>20.32</v>
      </c>
      <c r="C48" s="73" t="str">
        <v>雷伊布</v>
      </c>
      <c r="D48" s="75">
        <v>21.84</v>
      </c>
      <c r="E48" s="73" t="str">
        <v>壺壺</v>
      </c>
      <c r="F48" s="75">
        <v>21.037499999999998</v>
      </c>
      <c r="G48" s="73" t="str">
        <v>月亮伊布</v>
      </c>
      <c r="H48" s="75">
        <v>22.977499999999999</v>
      </c>
      <c r="J48" s="48" t="str">
        <v>艾路雷朵</v>
      </c>
      <c r="K48" s="48" t="str">
        <v>格鬥</v>
      </c>
      <c r="L48" s="48" t="str">
        <v>Y</v>
      </c>
      <c r="M48" s="48">
        <v>199</v>
      </c>
      <c r="N48" s="48" t="str">
        <v>D</v>
      </c>
      <c r="O48" s="71">
        <v>83580</v>
      </c>
      <c r="P48" s="83">
        <f t="shared" si="0"/>
        <v>0.38292795566502458</v>
      </c>
      <c r="Q48" s="63"/>
      <c r="R48" s="63"/>
      <c r="S48" s="63"/>
      <c r="T48" s="63"/>
      <c r="U48" s="63"/>
      <c r="V48" s="63"/>
      <c r="W48" s="63"/>
      <c r="X48" s="63"/>
      <c r="Y48" s="79" t="str">
        <f>數據!B47</f>
        <v>鋁鋼龍</v>
      </c>
      <c r="Z48" s="79" t="str">
        <f>數據!C47</f>
        <v>鋼</v>
      </c>
      <c r="AA48" s="79" t="str">
        <f>數據!D47</f>
        <v>龍</v>
      </c>
      <c r="AB48" s="51">
        <f>數據!P47</f>
        <v>23.225999999999999</v>
      </c>
      <c r="AD48" s="3" t="s">
        <v>48</v>
      </c>
      <c r="AE48" s="4" t="s">
        <v>37</v>
      </c>
      <c r="AF48" s="4" t="s">
        <v>131</v>
      </c>
      <c r="AG48" s="3">
        <f>_xlfn.XLOOKUP(AD48, 數據!B$2:B$50, 數據!M$2:M$50)</f>
        <v>223</v>
      </c>
      <c r="AH48" s="3" t="s">
        <v>6</v>
      </c>
      <c r="AI48" s="63">
        <f>AG48*IF(AH48="G", 450, IF(AH48="D", 350, 0)) * IF(AF48="Y", 1.2, 1)*(INDEX(屬性克制表!$B$2:$T$20, MATCH(AE48, 屬性克制表!$A$2:$A$20, 0), MATCH($L$1, 屬性克制表!$B$1:$T$1, 0)) * INDEX(屬性克制表!$B$2:$T$20, MATCH(AE48, 屬性克制表!$A$2:$A$20, 0), MATCH($M$1, 屬性克制表!$B$1:$T$1, 0)))</f>
        <v>48781.25</v>
      </c>
      <c r="AK48" s="80" t="str">
        <f t="shared" si="1"/>
        <v>鋁鋼龍</v>
      </c>
      <c r="AL48" s="66">
        <f>AB48/(INDEX(屬性克制表!$B$2:$T$20, MATCH($A$1, 屬性克制表!$A$2:$A$20, 0), MATCH(Z48, 屬性克制表!$B$1:$T$1, 0)) * INDEX(屬性克制表!$B$2:$T$20, MATCH($A$1, 屬性克制表!$A$2:$A$20, 0), MATCH(AA48, 屬性克制表!$B$1:$T$1, 0)))</f>
        <v>23.225999999999999</v>
      </c>
      <c r="AM48" s="80" t="str">
        <f t="shared" si="2"/>
        <v>鋁鋼龍</v>
      </c>
      <c r="AN48" s="56">
        <f>AB48/(INDEX(屬性克制表!$B$2:$T$20, MATCH($C$1, 屬性克制表!$A$2:$A$20, 0), MATCH(Z48, 屬性克制表!$B$1:$T$1, 0)) * INDEX(屬性克制表!$B$2:$T$20, MATCH($C$1, 屬性克制表!$A$2:$A$20, 0), MATCH(AA48, 屬性克制表!$B$1:$T$1, 0)))</f>
        <v>23.225999999999999</v>
      </c>
      <c r="AO48" s="80" t="str">
        <f t="shared" si="3"/>
        <v>鋁鋼龍</v>
      </c>
      <c r="AP48" s="56">
        <f>AB48/(INDEX(屬性克制表!$B$2:$T$20, MATCH($E$1, 屬性克制表!$A$2:$A$20, 0), MATCH(Z48, 屬性克制表!$B$1:$T$1, 0)) * INDEX(屬性克制表!$B$2:$T$20, MATCH($E$1, 屬性克制表!$A$2:$A$20, 0), MATCH(AA48, 屬性克制表!$B$1:$T$1, 0)))</f>
        <v>37.1616</v>
      </c>
      <c r="AQ48" s="80" t="str">
        <f t="shared" si="4"/>
        <v>鋁鋼龍</v>
      </c>
      <c r="AR48" s="56">
        <f>AB48/(INDEX(屬性克制表!$B$2:$T$20, MATCH($G$1, 屬性克制表!$A$2:$A$20, 0), MATCH(Z48, 屬性克制表!$B$1:$T$1, 0)) * INDEX(屬性克制表!$B$2:$T$20, MATCH($G$1, 屬性克制表!$A$2:$A$20, 0), MATCH(AA48, 屬性克制表!$B$1:$T$1, 0)))</f>
        <v>23.225999999999999</v>
      </c>
    </row>
    <row r="49" spans="1:44">
      <c r="A49" s="73" t="str">
        <v>快拳郎</v>
      </c>
      <c r="B49" s="75">
        <v>20.16</v>
      </c>
      <c r="C49" s="73" t="str">
        <v>火伊布</v>
      </c>
      <c r="D49" s="75">
        <v>21.42</v>
      </c>
      <c r="E49" s="73" t="str">
        <v>太陽伊布</v>
      </c>
      <c r="F49" s="75">
        <v>21</v>
      </c>
      <c r="G49" s="73" t="str">
        <v>吼鯨王</v>
      </c>
      <c r="H49" s="75">
        <v>22.88</v>
      </c>
      <c r="J49" s="48" t="str">
        <v>布莉姆溫</v>
      </c>
      <c r="K49" s="48" t="str">
        <v>妖精</v>
      </c>
      <c r="L49" s="48" t="str">
        <v>Y</v>
      </c>
      <c r="M49" s="48">
        <v>198</v>
      </c>
      <c r="N49" s="48" t="str">
        <v>D</v>
      </c>
      <c r="O49" s="71">
        <v>83160</v>
      </c>
      <c r="P49" s="83">
        <f t="shared" si="0"/>
        <v>0.38100369458128075</v>
      </c>
      <c r="Q49" s="63"/>
      <c r="R49" s="63"/>
      <c r="S49" s="63"/>
      <c r="T49" s="63"/>
      <c r="U49" s="63"/>
      <c r="V49" s="63"/>
      <c r="W49" s="63"/>
      <c r="X49" s="63"/>
      <c r="Y49" s="79" t="str">
        <f>數據!B48</f>
        <v>甜冷美后</v>
      </c>
      <c r="Z49" s="79" t="str">
        <f>數據!C48</f>
        <v>草</v>
      </c>
      <c r="AA49" s="48" t="s">
        <v>118</v>
      </c>
      <c r="AB49" s="51">
        <f>數據!P48</f>
        <v>24.9</v>
      </c>
      <c r="AD49" s="3" t="s">
        <v>34</v>
      </c>
      <c r="AE49" s="4" t="s">
        <v>46</v>
      </c>
      <c r="AF49" s="4" t="s">
        <v>130</v>
      </c>
      <c r="AG49" s="3">
        <f>_xlfn.XLOOKUP(AD49, 數據!B$2:B$50, 數據!M$2:M$50)</f>
        <v>143</v>
      </c>
      <c r="AH49" s="3" t="s">
        <v>5</v>
      </c>
      <c r="AI49" s="63">
        <f>AG49*IF(AH49="G", 450, IF(AH49="D", 350, 0)) * IF(AF49="Y", 1.2, 1)*(INDEX(屬性克制表!$B$2:$T$20, MATCH(AE49, 屬性克制表!$A$2:$A$20, 0), MATCH($L$1, 屬性克制表!$B$1:$T$1, 0)) * INDEX(屬性克制表!$B$2:$T$20, MATCH(AE49, 屬性克制表!$A$2:$A$20, 0), MATCH($M$1, 屬性克制表!$B$1:$T$1, 0)))</f>
        <v>77220</v>
      </c>
      <c r="AK49" s="80" t="str">
        <f t="shared" si="1"/>
        <v>甜冷美后</v>
      </c>
      <c r="AL49" s="66">
        <f>AB49/(INDEX(屬性克制表!$B$2:$T$20, MATCH($A$1, 屬性克制表!$A$2:$A$20, 0), MATCH(Z49, 屬性克制表!$B$1:$T$1, 0)) * INDEX(屬性克制表!$B$2:$T$20, MATCH($A$1, 屬性克制表!$A$2:$A$20, 0), MATCH(AA49, 屬性克制表!$B$1:$T$1, 0)))</f>
        <v>15.562499999999998</v>
      </c>
      <c r="AM49" s="80" t="str">
        <f t="shared" si="2"/>
        <v>甜冷美后</v>
      </c>
      <c r="AN49" s="56">
        <f>AB49/(INDEX(屬性克制表!$B$2:$T$20, MATCH($C$1, 屬性克制表!$A$2:$A$20, 0), MATCH(Z49, 屬性克制表!$B$1:$T$1, 0)) * INDEX(屬性克制表!$B$2:$T$20, MATCH($C$1, 屬性克制表!$A$2:$A$20, 0), MATCH(AA49, 屬性克制表!$B$1:$T$1, 0)))</f>
        <v>24.9</v>
      </c>
      <c r="AO49" s="80" t="str">
        <f t="shared" si="3"/>
        <v>甜冷美后</v>
      </c>
      <c r="AP49" s="56">
        <f>AB49/(INDEX(屬性克制表!$B$2:$T$20, MATCH($E$1, 屬性克制表!$A$2:$A$20, 0), MATCH(Z49, 屬性克制表!$B$1:$T$1, 0)) * INDEX(屬性克制表!$B$2:$T$20, MATCH($E$1, 屬性克制表!$A$2:$A$20, 0), MATCH(AA49, 屬性克制表!$B$1:$T$1, 0)))</f>
        <v>39.839999999999996</v>
      </c>
      <c r="AQ49" s="80" t="str">
        <f t="shared" si="4"/>
        <v>甜冷美后</v>
      </c>
      <c r="AR49" s="56">
        <f>AB49/(INDEX(屬性克制表!$B$2:$T$20, MATCH($G$1, 屬性克制表!$A$2:$A$20, 0), MATCH(Z49, 屬性克制表!$B$1:$T$1, 0)) * INDEX(屬性克制表!$B$2:$T$20, MATCH($G$1, 屬性克制表!$A$2:$A$20, 0), MATCH(AA49, 屬性克制表!$B$1:$T$1, 0)))</f>
        <v>24.9</v>
      </c>
    </row>
    <row r="50" spans="1:44">
      <c r="A50" s="73" t="str">
        <v>布莉姆溫</v>
      </c>
      <c r="B50" s="75">
        <v>19.84</v>
      </c>
      <c r="C50" s="73" t="str">
        <v>鐮刀盔</v>
      </c>
      <c r="D50" s="75">
        <v>21.172000000000001</v>
      </c>
      <c r="E50" s="73" t="str">
        <v>高傲雉雞</v>
      </c>
      <c r="F50" s="75">
        <v>20.32</v>
      </c>
      <c r="G50" s="73" t="str">
        <v>雷伊布</v>
      </c>
      <c r="H50" s="75">
        <v>21.84</v>
      </c>
      <c r="J50" s="48" t="str">
        <v>吼鯨王</v>
      </c>
      <c r="K50" s="48" t="str">
        <v>超能力</v>
      </c>
      <c r="L50" s="48" t="str">
        <v>N</v>
      </c>
      <c r="M50" s="48">
        <v>147</v>
      </c>
      <c r="N50" s="48" t="str">
        <v>D</v>
      </c>
      <c r="O50" s="71">
        <v>82320</v>
      </c>
      <c r="P50" s="83">
        <f t="shared" si="0"/>
        <v>0.37715517241379304</v>
      </c>
      <c r="Q50" s="63"/>
      <c r="R50" s="63"/>
      <c r="S50" s="63"/>
      <c r="T50" s="63"/>
      <c r="U50" s="63"/>
      <c r="V50" s="63"/>
      <c r="W50" s="63"/>
      <c r="X50" s="63"/>
      <c r="Y50" s="79" t="str">
        <f>數據!B49</f>
        <v>沙奈朵</v>
      </c>
      <c r="Z50" s="79" t="str">
        <f>數據!C49</f>
        <v>超能力</v>
      </c>
      <c r="AA50" s="79" t="str">
        <f>數據!D49</f>
        <v>妖精</v>
      </c>
      <c r="AB50" s="51">
        <f>數據!P49</f>
        <v>24.07</v>
      </c>
      <c r="AD50" s="3" t="s">
        <v>51</v>
      </c>
      <c r="AE50" s="4" t="s">
        <v>46</v>
      </c>
      <c r="AF50" s="4" t="s">
        <v>131</v>
      </c>
      <c r="AG50" s="3">
        <f>_xlfn.XLOOKUP(AD50, 數據!B$2:B$50, 數據!M$2:M$50)</f>
        <v>214</v>
      </c>
      <c r="AH50" s="3" t="s">
        <v>6</v>
      </c>
      <c r="AI50" s="63">
        <f>AG50*IF(AH50="G", 450, IF(AH50="D", 350, 0)) * IF(AF50="Y", 1.2, 1)*(INDEX(屬性克制表!$B$2:$T$20, MATCH(AE50, 屬性克制表!$A$2:$A$20, 0), MATCH($L$1, 屬性克制表!$B$1:$T$1, 0)) * INDEX(屬性克制表!$B$2:$T$20, MATCH(AE50, 屬性克制表!$A$2:$A$20, 0), MATCH($M$1, 屬性克制表!$B$1:$T$1, 0)))</f>
        <v>74900</v>
      </c>
      <c r="AK50" s="80" t="str">
        <f t="shared" si="1"/>
        <v>沙奈朵</v>
      </c>
      <c r="AL50" s="66">
        <f>AB50/(INDEX(屬性克制表!$B$2:$T$20, MATCH($A$1, 屬性克制表!$A$2:$A$20, 0), MATCH(Z50, 屬性克制表!$B$1:$T$1, 0)) * INDEX(屬性克制表!$B$2:$T$20, MATCH($A$1, 屬性克制表!$A$2:$A$20, 0), MATCH(AA50, 屬性克制表!$B$1:$T$1, 0)))</f>
        <v>24.07</v>
      </c>
      <c r="AM50" s="80" t="str">
        <f t="shared" si="2"/>
        <v>沙奈朵</v>
      </c>
      <c r="AN50" s="56">
        <f>AB50/(INDEX(屬性克制表!$B$2:$T$20, MATCH($C$1, 屬性克制表!$A$2:$A$20, 0), MATCH(Z50, 屬性克制表!$B$1:$T$1, 0)) * INDEX(屬性克制表!$B$2:$T$20, MATCH($C$1, 屬性克制表!$A$2:$A$20, 0), MATCH(AA50, 屬性克制表!$B$1:$T$1, 0)))</f>
        <v>15.043749999999999</v>
      </c>
      <c r="AO50" s="80" t="str">
        <f t="shared" si="3"/>
        <v>沙奈朵</v>
      </c>
      <c r="AP50" s="56">
        <f>AB50/(INDEX(屬性克制表!$B$2:$T$20, MATCH($E$1, 屬性克制表!$A$2:$A$20, 0), MATCH(Z50, 屬性克制表!$B$1:$T$1, 0)) * INDEX(屬性克制表!$B$2:$T$20, MATCH($E$1, 屬性克制表!$A$2:$A$20, 0), MATCH(AA50, 屬性克制表!$B$1:$T$1, 0)))</f>
        <v>24.07</v>
      </c>
      <c r="AQ50" s="80" t="str">
        <f t="shared" si="4"/>
        <v>沙奈朵</v>
      </c>
      <c r="AR50" s="56">
        <f>AB50/(INDEX(屬性克制表!$B$2:$T$20, MATCH($G$1, 屬性克制表!$A$2:$A$20, 0), MATCH(Z50, 屬性克制表!$B$1:$T$1, 0)) * INDEX(屬性克制表!$B$2:$T$20, MATCH($G$1, 屬性克制表!$A$2:$A$20, 0), MATCH(AA50, 屬性克制表!$B$1:$T$1, 0)))</f>
        <v>24.07</v>
      </c>
    </row>
    <row r="51" spans="1:44">
      <c r="A51" s="73" t="str">
        <v>鋼鎧鴉</v>
      </c>
      <c r="B51" s="75">
        <v>19.59375</v>
      </c>
      <c r="C51" s="73" t="str">
        <v>快拳郎</v>
      </c>
      <c r="D51" s="75">
        <v>20.16</v>
      </c>
      <c r="E51" s="73" t="str">
        <v>快拳郎</v>
      </c>
      <c r="F51" s="75">
        <v>20.16</v>
      </c>
      <c r="G51" s="73" t="str">
        <v>鐮刀盔</v>
      </c>
      <c r="H51" s="75">
        <v>21.172000000000001</v>
      </c>
      <c r="J51" s="48" t="str">
        <v>老翁龍</v>
      </c>
      <c r="K51" s="48" t="str">
        <v>龍</v>
      </c>
      <c r="L51" s="48" t="str">
        <v>Y</v>
      </c>
      <c r="M51" s="48">
        <v>194</v>
      </c>
      <c r="N51" s="48" t="str">
        <v>D</v>
      </c>
      <c r="O51" s="71">
        <v>81480</v>
      </c>
      <c r="P51" s="83">
        <f t="shared" si="0"/>
        <v>0.37330665024630538</v>
      </c>
      <c r="Q51" s="63"/>
      <c r="R51" s="63"/>
      <c r="S51" s="63"/>
      <c r="T51" s="63"/>
      <c r="U51" s="63"/>
      <c r="V51" s="63"/>
      <c r="W51" s="63"/>
      <c r="X51" s="63"/>
      <c r="Y51" s="79" t="str">
        <f>數據!B50</f>
        <v>超級巨伊布</v>
      </c>
      <c r="Z51" s="79" t="str">
        <f>數據!C50</f>
        <v>一般</v>
      </c>
      <c r="AA51" s="79" t="str">
        <f>數據!D50</f>
        <v>無</v>
      </c>
      <c r="AB51" s="51">
        <f>數據!P50</f>
        <v>12.954000000000001</v>
      </c>
      <c r="AD51" s="3" t="s">
        <v>67</v>
      </c>
      <c r="AE51" s="3" t="s">
        <v>35</v>
      </c>
      <c r="AF51" s="3" t="s">
        <v>131</v>
      </c>
      <c r="AG51" s="3">
        <f>_xlfn.XLOOKUP(AD51, 數據!B$2:B$50, 數據!M$2:M$50)</f>
        <v>138</v>
      </c>
      <c r="AH51" s="3" t="s">
        <v>6</v>
      </c>
      <c r="AI51" s="63">
        <f>AG51*IF(AH51="G", 450, IF(AH51="D", 350, 0)) * IF(AF51="Y", 1.2, 1)*(INDEX(屬性克制表!$B$2:$T$20, MATCH(AE51, 屬性克制表!$A$2:$A$20, 0), MATCH($L$1, 屬性克制表!$B$1:$T$1, 0)) * INDEX(屬性克制表!$B$2:$T$20, MATCH(AE51, 屬性克制表!$A$2:$A$20, 0), MATCH($M$1, 屬性克制表!$B$1:$T$1, 0)))</f>
        <v>30187.5</v>
      </c>
      <c r="AK51" s="80" t="str">
        <f t="shared" si="1"/>
        <v>超級巨伊布</v>
      </c>
      <c r="AL51" s="66">
        <f>AB51/(INDEX(屬性克制表!$B$2:$T$20, MATCH($A$1, 屬性克制表!$A$2:$A$20, 0), MATCH(Z51, 屬性克制表!$B$1:$T$1, 0)) * INDEX(屬性克制表!$B$2:$T$20, MATCH($A$1, 屬性克制表!$A$2:$A$20, 0), MATCH(AA51, 屬性克制表!$B$1:$T$1, 0)))</f>
        <v>12.954000000000001</v>
      </c>
      <c r="AM51" s="80" t="str">
        <f t="shared" si="2"/>
        <v>超級巨伊布</v>
      </c>
      <c r="AN51" s="56">
        <f>AB51/(INDEX(屬性克制表!$B$2:$T$20, MATCH($C$1, 屬性克制表!$A$2:$A$20, 0), MATCH(Z51, 屬性克制表!$B$1:$T$1, 0)) * INDEX(屬性克制表!$B$2:$T$20, MATCH($C$1, 屬性克制表!$A$2:$A$20, 0), MATCH(AA51, 屬性克制表!$B$1:$T$1, 0)))</f>
        <v>33.130434782608695</v>
      </c>
      <c r="AO51" s="80" t="str">
        <f t="shared" si="3"/>
        <v>超級巨伊布</v>
      </c>
      <c r="AP51" s="56">
        <f>AB51/(INDEX(屬性克制表!$B$2:$T$20, MATCH($E$1, 屬性克制表!$A$2:$A$20, 0), MATCH(Z51, 屬性克制表!$B$1:$T$1, 0)) * INDEX(屬性克制表!$B$2:$T$20, MATCH($E$1, 屬性克制表!$A$2:$A$20, 0), MATCH(AA51, 屬性克制表!$B$1:$T$1, 0)))</f>
        <v>12.954000000000001</v>
      </c>
      <c r="AQ51" s="80" t="str">
        <f t="shared" si="4"/>
        <v>超級巨伊布</v>
      </c>
      <c r="AR51" s="56">
        <f>AB51/(INDEX(屬性克制表!$B$2:$T$20, MATCH($G$1, 屬性克制表!$A$2:$A$20, 0), MATCH(Z51, 屬性克制表!$B$1:$T$1, 0)) * INDEX(屬性克制表!$B$2:$T$20, MATCH($G$1, 屬性克制表!$A$2:$A$20, 0), MATCH(AA51, 屬性克制表!$B$1:$T$1, 0)))</f>
        <v>12.954000000000001</v>
      </c>
    </row>
    <row r="52" spans="1:44">
      <c r="A52" s="74" t="str">
        <v>列陣兵</v>
      </c>
      <c r="B52" s="75">
        <v>19.591000000000001</v>
      </c>
      <c r="C52" s="73" t="str">
        <v>列陣兵</v>
      </c>
      <c r="D52" s="75">
        <v>19.591000000000001</v>
      </c>
      <c r="E52" s="73" t="str">
        <v>布莉姆溫</v>
      </c>
      <c r="F52" s="75">
        <v>19.84</v>
      </c>
      <c r="G52" s="73" t="str">
        <v>太陽伊布</v>
      </c>
      <c r="H52" s="75">
        <v>21</v>
      </c>
      <c r="J52" s="48" t="str">
        <v>巴大蝶</v>
      </c>
      <c r="K52" s="48" t="str">
        <v>超能力</v>
      </c>
      <c r="L52" s="48" t="str">
        <v>N</v>
      </c>
      <c r="M52" s="48">
        <v>143</v>
      </c>
      <c r="N52" s="48" t="str">
        <v>D</v>
      </c>
      <c r="O52" s="71">
        <v>80080</v>
      </c>
      <c r="P52" s="83">
        <f t="shared" si="0"/>
        <v>0.36689244663382586</v>
      </c>
      <c r="Q52" s="63"/>
      <c r="R52" s="63"/>
      <c r="S52" s="63"/>
      <c r="T52" s="63"/>
      <c r="U52" s="63"/>
      <c r="V52" s="63"/>
      <c r="W52" s="63"/>
      <c r="X52" s="63"/>
      <c r="Y52" s="79" t="str">
        <f>數據!B51</f>
        <v>水伊布</v>
      </c>
      <c r="Z52" s="79" t="str">
        <f>數據!C51</f>
        <v>水</v>
      </c>
      <c r="AA52" s="79" t="str">
        <f>數據!D51</f>
        <v>無</v>
      </c>
      <c r="AB52" s="51">
        <f>數據!P51</f>
        <v>31.97</v>
      </c>
      <c r="AD52" s="3" t="s">
        <v>68</v>
      </c>
      <c r="AE52" s="3" t="s">
        <v>70</v>
      </c>
      <c r="AF52" s="3" t="s">
        <v>131</v>
      </c>
      <c r="AG52" s="3">
        <f>_xlfn.XLOOKUP(AD52, 數據!B$2:B$50, 數據!M$2:M$50)</f>
        <v>136</v>
      </c>
      <c r="AH52" s="3" t="s">
        <v>6</v>
      </c>
      <c r="AI52" s="63">
        <f>AG52*IF(AH52="G", 450, IF(AH52="D", 350, 0)) * IF(AF52="Y", 1.2, 1)*(INDEX(屬性克制表!$B$2:$T$20, MATCH(AE52, 屬性克制表!$A$2:$A$20, 0), MATCH($L$1, 屬性克制表!$B$1:$T$1, 0)) * INDEX(屬性克制表!$B$2:$T$20, MATCH(AE52, 屬性克制表!$A$2:$A$20, 0), MATCH($M$1, 屬性克制表!$B$1:$T$1, 0)))</f>
        <v>47600</v>
      </c>
      <c r="AK52" s="80" t="str">
        <f t="shared" si="1"/>
        <v>水伊布</v>
      </c>
      <c r="AL52" s="66">
        <f>AB52/(INDEX(屬性克制表!$B$2:$T$20, MATCH($A$1, 屬性克制表!$A$2:$A$20, 0), MATCH(Z52, 屬性克制表!$B$1:$T$1, 0)) * INDEX(屬性克制表!$B$2:$T$20, MATCH($A$1, 屬性克制表!$A$2:$A$20, 0), MATCH(AA52, 屬性克制表!$B$1:$T$1, 0)))</f>
        <v>51.152000000000001</v>
      </c>
      <c r="AM52" s="80" t="str">
        <f t="shared" si="2"/>
        <v>水伊布</v>
      </c>
      <c r="AN52" s="56">
        <f>AB52/(INDEX(屬性克制表!$B$2:$T$20, MATCH($C$1, 屬性克制表!$A$2:$A$20, 0), MATCH(Z52, 屬性克制表!$B$1:$T$1, 0)) * INDEX(屬性克制表!$B$2:$T$20, MATCH($C$1, 屬性克制表!$A$2:$A$20, 0), MATCH(AA52, 屬性克制表!$B$1:$T$1, 0)))</f>
        <v>31.97</v>
      </c>
      <c r="AO52" s="80" t="str">
        <f t="shared" si="3"/>
        <v>水伊布</v>
      </c>
      <c r="AP52" s="56">
        <f>AB52/(INDEX(屬性克制表!$B$2:$T$20, MATCH($E$1, 屬性克制表!$A$2:$A$20, 0), MATCH(Z52, 屬性克制表!$B$1:$T$1, 0)) * INDEX(屬性克制表!$B$2:$T$20, MATCH($E$1, 屬性克制表!$A$2:$A$20, 0), MATCH(AA52, 屬性克制表!$B$1:$T$1, 0)))</f>
        <v>51.152000000000001</v>
      </c>
      <c r="AQ52" s="80" t="str">
        <f t="shared" si="4"/>
        <v>水伊布</v>
      </c>
      <c r="AR52" s="56">
        <f>AB52/(INDEX(屬性克制表!$B$2:$T$20, MATCH($G$1, 屬性克制表!$A$2:$A$20, 0), MATCH(Z52, 屬性克制表!$B$1:$T$1, 0)) * INDEX(屬性克制表!$B$2:$T$20, MATCH($G$1, 屬性克制表!$A$2:$A$20, 0), MATCH(AA52, 屬性克制表!$B$1:$T$1, 0)))</f>
        <v>31.97</v>
      </c>
    </row>
    <row r="53" spans="1:44">
      <c r="A53" s="74" t="str">
        <v>急凍鳥</v>
      </c>
      <c r="B53" s="75">
        <v>19.065000000000001</v>
      </c>
      <c r="C53" s="73" t="str">
        <v>巨鉗蟹</v>
      </c>
      <c r="D53" s="75">
        <v>19.431000000000001</v>
      </c>
      <c r="E53" s="73" t="str">
        <v>列陣兵</v>
      </c>
      <c r="F53" s="75">
        <v>19.591000000000001</v>
      </c>
      <c r="G53" s="73" t="str">
        <v>高傲雉雞</v>
      </c>
      <c r="H53" s="75">
        <v>20.32</v>
      </c>
      <c r="J53" s="48" t="str">
        <v>飛腿郎</v>
      </c>
      <c r="K53" s="48" t="str">
        <v>格鬥</v>
      </c>
      <c r="L53" s="48" t="str">
        <v>Y</v>
      </c>
      <c r="M53" s="48">
        <v>189</v>
      </c>
      <c r="N53" s="48" t="str">
        <v>D</v>
      </c>
      <c r="O53" s="71">
        <v>79380</v>
      </c>
      <c r="P53" s="83">
        <f t="shared" si="0"/>
        <v>0.36368534482758613</v>
      </c>
      <c r="Q53" s="63"/>
      <c r="R53" s="63"/>
      <c r="S53" s="63"/>
      <c r="T53" s="63"/>
      <c r="U53" s="63"/>
      <c r="V53" s="63"/>
      <c r="W53" s="63"/>
      <c r="X53" s="63"/>
      <c r="Y53" s="79" t="str">
        <f>數據!B52</f>
        <v>雷伊布</v>
      </c>
      <c r="Z53" s="79" t="str">
        <f>數據!C52</f>
        <v>電</v>
      </c>
      <c r="AA53" s="79" t="str">
        <f>數據!D52</f>
        <v>無</v>
      </c>
      <c r="AB53" s="51">
        <f>數據!P52</f>
        <v>21.84</v>
      </c>
      <c r="AD53" s="7" t="s">
        <v>17</v>
      </c>
      <c r="AE53" s="3" t="s">
        <v>36</v>
      </c>
      <c r="AF53" s="3" t="s">
        <v>130</v>
      </c>
      <c r="AG53" s="3">
        <f>_xlfn.XLOOKUP(AD53, 數據!B$2:B$50, 數據!M$2:M$50)</f>
        <v>217</v>
      </c>
      <c r="AH53" s="7" t="s">
        <v>5</v>
      </c>
      <c r="AI53" s="63">
        <f>AG53*IF(AH53="G", 450, IF(AH53="D", 350, 0)) * IF(AF53="Y", 1.2, 1)*(INDEX(屬性克制表!$B$2:$T$20, MATCH(AE53, 屬性克制表!$A$2:$A$20, 0), MATCH($L$1, 屬性克制表!$B$1:$T$1, 0)) * INDEX(屬性克制表!$B$2:$T$20, MATCH(AE53, 屬性克制表!$A$2:$A$20, 0), MATCH($M$1, 屬性克制表!$B$1:$T$1, 0)))</f>
        <v>73237.5</v>
      </c>
      <c r="AK53" s="80" t="str">
        <f t="shared" si="1"/>
        <v>雷伊布</v>
      </c>
      <c r="AL53" s="66">
        <f>AB53/(INDEX(屬性克制表!$B$2:$T$20, MATCH($A$1, 屬性克制表!$A$2:$A$20, 0), MATCH(Z53, 屬性克制表!$B$1:$T$1, 0)) * INDEX(屬性克制表!$B$2:$T$20, MATCH($A$1, 屬性克制表!$A$2:$A$20, 0), MATCH(AA53, 屬性克制表!$B$1:$T$1, 0)))</f>
        <v>21.84</v>
      </c>
      <c r="AM53" s="80" t="str">
        <f t="shared" si="2"/>
        <v>雷伊布</v>
      </c>
      <c r="AN53" s="56">
        <f>AB53/(INDEX(屬性克制表!$B$2:$T$20, MATCH($C$1, 屬性克制表!$A$2:$A$20, 0), MATCH(Z53, 屬性克制表!$B$1:$T$1, 0)) * INDEX(屬性克制表!$B$2:$T$20, MATCH($C$1, 屬性克制表!$A$2:$A$20, 0), MATCH(AA53, 屬性克制表!$B$1:$T$1, 0)))</f>
        <v>21.84</v>
      </c>
      <c r="AO53" s="80" t="str">
        <f t="shared" si="3"/>
        <v>雷伊布</v>
      </c>
      <c r="AP53" s="56">
        <f>AB53/(INDEX(屬性克制表!$B$2:$T$20, MATCH($E$1, 屬性克制表!$A$2:$A$20, 0), MATCH(Z53, 屬性克制表!$B$1:$T$1, 0)) * INDEX(屬性克制表!$B$2:$T$20, MATCH($E$1, 屬性克制表!$A$2:$A$20, 0), MATCH(AA53, 屬性克制表!$B$1:$T$1, 0)))</f>
        <v>21.84</v>
      </c>
      <c r="AQ53" s="80" t="str">
        <f t="shared" si="4"/>
        <v>雷伊布</v>
      </c>
      <c r="AR53" s="56">
        <f>AB53/(INDEX(屬性克制表!$B$2:$T$20, MATCH($G$1, 屬性克制表!$A$2:$A$20, 0), MATCH(Z53, 屬性克制表!$B$1:$T$1, 0)) * INDEX(屬性克制表!$B$2:$T$20, MATCH($G$1, 屬性克制表!$A$2:$A$20, 0), MATCH(AA53, 屬性克制表!$B$1:$T$1, 0)))</f>
        <v>21.84</v>
      </c>
    </row>
    <row r="54" spans="1:44">
      <c r="A54" s="74" t="str">
        <v>巨金怪</v>
      </c>
      <c r="B54" s="75">
        <v>19.018124999999998</v>
      </c>
      <c r="C54" s="73" t="str">
        <v>狒狒達摩</v>
      </c>
      <c r="D54" s="75">
        <v>19.3</v>
      </c>
      <c r="E54" s="73" t="str">
        <v>戰弦蠑螈</v>
      </c>
      <c r="F54" s="75">
        <v>18.634</v>
      </c>
      <c r="G54" s="73" t="str">
        <v>快拳郎</v>
      </c>
      <c r="H54" s="75">
        <v>20.16</v>
      </c>
      <c r="J54" s="48" t="str">
        <v>胡地</v>
      </c>
      <c r="K54" s="48" t="str">
        <v>格鬥</v>
      </c>
      <c r="L54" s="48" t="str">
        <v>N</v>
      </c>
      <c r="M54" s="48">
        <v>225</v>
      </c>
      <c r="N54" s="48" t="str">
        <v>D</v>
      </c>
      <c r="O54" s="71">
        <v>78750</v>
      </c>
      <c r="P54" s="83">
        <f t="shared" si="0"/>
        <v>0.36079895320197036</v>
      </c>
      <c r="Q54" s="63"/>
      <c r="R54" s="63"/>
      <c r="S54" s="63"/>
      <c r="T54" s="63"/>
      <c r="U54" s="63"/>
      <c r="V54" s="63"/>
      <c r="W54" s="63"/>
      <c r="X54" s="63"/>
      <c r="Y54" s="79" t="str">
        <f>數據!B53</f>
        <v>火伊布</v>
      </c>
      <c r="Z54" s="79" t="str">
        <f>數據!C53</f>
        <v>火</v>
      </c>
      <c r="AA54" s="79" t="str">
        <f>數據!D53</f>
        <v>無</v>
      </c>
      <c r="AB54" s="51">
        <f>數據!P53</f>
        <v>21.42</v>
      </c>
      <c r="AD54" s="4" t="s">
        <v>19</v>
      </c>
      <c r="AE54" s="4" t="s">
        <v>73</v>
      </c>
      <c r="AF54" s="4" t="s">
        <v>131</v>
      </c>
      <c r="AG54" s="3">
        <f>_xlfn.XLOOKUP(AD54, 數據!B$2:B$50, 數據!M$2:M$50)</f>
        <v>198</v>
      </c>
      <c r="AH54" s="4" t="s">
        <v>6</v>
      </c>
      <c r="AI54" s="63">
        <f>AG54*IF(AH54="G", 450, IF(AH54="D", 350, 0)) * IF(AF54="Y", 1.2, 1)*(INDEX(屬性克制表!$B$2:$T$20, MATCH(AE54, 屬性克制表!$A$2:$A$20, 0), MATCH($L$1, 屬性克制表!$B$1:$T$1, 0)) * INDEX(屬性克制表!$B$2:$T$20, MATCH(AE54, 屬性克制表!$A$2:$A$20, 0), MATCH($M$1, 屬性克制表!$B$1:$T$1, 0)))</f>
        <v>43312.5</v>
      </c>
      <c r="AK54" s="80" t="str">
        <f t="shared" si="1"/>
        <v>火伊布</v>
      </c>
      <c r="AL54" s="66">
        <f>AB54/(INDEX(屬性克制表!$B$2:$T$20, MATCH($A$1, 屬性克制表!$A$2:$A$20, 0), MATCH(Z54, 屬性克制表!$B$1:$T$1, 0)) * INDEX(屬性克制表!$B$2:$T$20, MATCH($A$1, 屬性克制表!$A$2:$A$20, 0), MATCH(AA54, 屬性克制表!$B$1:$T$1, 0)))</f>
        <v>34.272000000000006</v>
      </c>
      <c r="AM54" s="80" t="str">
        <f t="shared" si="2"/>
        <v>火伊布</v>
      </c>
      <c r="AN54" s="56">
        <f>AB54/(INDEX(屬性克制表!$B$2:$T$20, MATCH($C$1, 屬性克制表!$A$2:$A$20, 0), MATCH(Z54, 屬性克制表!$B$1:$T$1, 0)) * INDEX(屬性克制表!$B$2:$T$20, MATCH($C$1, 屬性克制表!$A$2:$A$20, 0), MATCH(AA54, 屬性克制表!$B$1:$T$1, 0)))</f>
        <v>21.42</v>
      </c>
      <c r="AO54" s="80" t="str">
        <f t="shared" si="3"/>
        <v>火伊布</v>
      </c>
      <c r="AP54" s="56">
        <f>AB54/(INDEX(屬性克制表!$B$2:$T$20, MATCH($E$1, 屬性克制表!$A$2:$A$20, 0), MATCH(Z54, 屬性克制表!$B$1:$T$1, 0)) * INDEX(屬性克制表!$B$2:$T$20, MATCH($E$1, 屬性克制表!$A$2:$A$20, 0), MATCH(AA54, 屬性克制表!$B$1:$T$1, 0)))</f>
        <v>13.387500000000001</v>
      </c>
      <c r="AQ54" s="80" t="str">
        <f t="shared" si="4"/>
        <v>火伊布</v>
      </c>
      <c r="AR54" s="56">
        <f>AB54/(INDEX(屬性克制表!$B$2:$T$20, MATCH($G$1, 屬性克制表!$A$2:$A$20, 0), MATCH(Z54, 屬性克制表!$B$1:$T$1, 0)) * INDEX(屬性克制表!$B$2:$T$20, MATCH($G$1, 屬性克制表!$A$2:$A$20, 0), MATCH(AA54, 屬性克制表!$B$1:$T$1, 0)))</f>
        <v>34.272000000000006</v>
      </c>
    </row>
    <row r="55" spans="1:44">
      <c r="A55" s="74" t="str">
        <v>戰弦蠑螈</v>
      </c>
      <c r="B55" s="75">
        <v>18.634</v>
      </c>
      <c r="C55" s="73" t="str">
        <v>巨金怪</v>
      </c>
      <c r="D55" s="75">
        <v>19.018124999999998</v>
      </c>
      <c r="E55" s="73" t="str">
        <v>飛腿郎</v>
      </c>
      <c r="F55" s="75">
        <v>18.600000000000001</v>
      </c>
      <c r="G55" s="73" t="str">
        <v>布莉姆溫</v>
      </c>
      <c r="H55" s="75">
        <v>19.84</v>
      </c>
      <c r="J55" s="48" t="str">
        <v>巴大蝶</v>
      </c>
      <c r="K55" s="48" t="str">
        <v>蟲</v>
      </c>
      <c r="L55" s="48" t="str">
        <v>Y</v>
      </c>
      <c r="M55" s="48">
        <v>143</v>
      </c>
      <c r="N55" s="48" t="str">
        <v>G</v>
      </c>
      <c r="O55" s="71">
        <v>77220</v>
      </c>
      <c r="P55" s="83">
        <f t="shared" si="0"/>
        <v>0.35378914496833208</v>
      </c>
      <c r="Q55" s="63"/>
      <c r="R55" s="63"/>
      <c r="S55" s="63"/>
      <c r="T55" s="63"/>
      <c r="U55" s="63"/>
      <c r="V55" s="63"/>
      <c r="W55" s="63"/>
      <c r="X55" s="63"/>
      <c r="Y55" s="79" t="str">
        <f>數據!B54</f>
        <v>太陽伊布</v>
      </c>
      <c r="Z55" s="79" t="str">
        <f>數據!C54</f>
        <v>超能力</v>
      </c>
      <c r="AA55" s="79" t="str">
        <f>數據!D54</f>
        <v>無</v>
      </c>
      <c r="AB55" s="51">
        <f>數據!P54</f>
        <v>21</v>
      </c>
      <c r="AD55" s="3" t="s">
        <v>19</v>
      </c>
      <c r="AE55" s="4" t="s">
        <v>71</v>
      </c>
      <c r="AF55" s="4" t="s">
        <v>131</v>
      </c>
      <c r="AG55" s="3">
        <f>_xlfn.XLOOKUP(AD55, 數據!B$2:B$50, 數據!M$2:M$50)</f>
        <v>198</v>
      </c>
      <c r="AH55" s="3" t="s">
        <v>6</v>
      </c>
      <c r="AI55" s="63">
        <f>AG55*IF(AH55="G", 450, IF(AH55="D", 350, 0)) * IF(AF55="Y", 1.2, 1)*(INDEX(屬性克制表!$B$2:$T$20, MATCH(AE55, 屬性克制表!$A$2:$A$20, 0), MATCH($L$1, 屬性克制表!$B$1:$T$1, 0)) * INDEX(屬性克制表!$B$2:$T$20, MATCH(AE55, 屬性克制表!$A$2:$A$20, 0), MATCH($M$1, 屬性克制表!$B$1:$T$1, 0)))</f>
        <v>69300</v>
      </c>
      <c r="AK55" s="80" t="str">
        <f t="shared" si="1"/>
        <v>太陽伊布</v>
      </c>
      <c r="AL55" s="66">
        <f>AB55/(INDEX(屬性克制表!$B$2:$T$20, MATCH($A$1, 屬性克制表!$A$2:$A$20, 0), MATCH(Z55, 屬性克制表!$B$1:$T$1, 0)) * INDEX(屬性克制表!$B$2:$T$20, MATCH($A$1, 屬性克制表!$A$2:$A$20, 0), MATCH(AA55, 屬性克制表!$B$1:$T$1, 0)))</f>
        <v>21</v>
      </c>
      <c r="AM55" s="80" t="str">
        <f t="shared" si="2"/>
        <v>太陽伊布</v>
      </c>
      <c r="AN55" s="56">
        <f>AB55/(INDEX(屬性克制表!$B$2:$T$20, MATCH($C$1, 屬性克制表!$A$2:$A$20, 0), MATCH(Z55, 屬性克制表!$B$1:$T$1, 0)) * INDEX(屬性克制表!$B$2:$T$20, MATCH($C$1, 屬性克制表!$A$2:$A$20, 0), MATCH(AA55, 屬性克制表!$B$1:$T$1, 0)))</f>
        <v>13.125</v>
      </c>
      <c r="AO55" s="80" t="str">
        <f t="shared" si="3"/>
        <v>太陽伊布</v>
      </c>
      <c r="AP55" s="56">
        <f>AB55/(INDEX(屬性克制表!$B$2:$T$20, MATCH($E$1, 屬性克制表!$A$2:$A$20, 0), MATCH(Z55, 屬性克制表!$B$1:$T$1, 0)) * INDEX(屬性克制表!$B$2:$T$20, MATCH($E$1, 屬性克制表!$A$2:$A$20, 0), MATCH(AA55, 屬性克制表!$B$1:$T$1, 0)))</f>
        <v>21</v>
      </c>
      <c r="AQ55" s="80" t="str">
        <f t="shared" si="4"/>
        <v>太陽伊布</v>
      </c>
      <c r="AR55" s="56">
        <f>AB55/(INDEX(屬性克制表!$B$2:$T$20, MATCH($G$1, 屬性克制表!$A$2:$A$20, 0), MATCH(Z55, 屬性克制表!$B$1:$T$1, 0)) * INDEX(屬性克制表!$B$2:$T$20, MATCH($G$1, 屬性克制表!$A$2:$A$20, 0), MATCH(AA55, 屬性克制表!$B$1:$T$1, 0)))</f>
        <v>21</v>
      </c>
    </row>
    <row r="56" spans="1:44">
      <c r="A56" s="74" t="str">
        <v>飛腿郎</v>
      </c>
      <c r="B56" s="75">
        <v>18.600000000000001</v>
      </c>
      <c r="C56" s="73" t="str">
        <v>戰弦蠑螈</v>
      </c>
      <c r="D56" s="75">
        <v>18.634</v>
      </c>
      <c r="E56" s="73" t="str">
        <v>胡地</v>
      </c>
      <c r="F56" s="75">
        <v>18.288</v>
      </c>
      <c r="G56" s="73" t="str">
        <v>列陣兵</v>
      </c>
      <c r="H56" s="75">
        <v>19.591000000000001</v>
      </c>
      <c r="J56" s="48" t="str">
        <v>投擲猴</v>
      </c>
      <c r="K56" s="48" t="str">
        <v>格鬥</v>
      </c>
      <c r="L56" s="48" t="str">
        <v>Y</v>
      </c>
      <c r="M56" s="48">
        <v>181</v>
      </c>
      <c r="N56" s="48" t="str">
        <v>D</v>
      </c>
      <c r="O56" s="71">
        <v>76020</v>
      </c>
      <c r="P56" s="83">
        <f t="shared" si="0"/>
        <v>0.3482912561576354</v>
      </c>
      <c r="Q56" s="63"/>
      <c r="R56" s="63"/>
      <c r="S56" s="63"/>
      <c r="T56" s="63"/>
      <c r="U56" s="63"/>
      <c r="V56" s="63"/>
      <c r="W56" s="63"/>
      <c r="X56" s="63"/>
      <c r="Y56" s="79" t="str">
        <f>數據!B55</f>
        <v>月亮伊布</v>
      </c>
      <c r="Z56" s="79" t="str">
        <f>數據!C55</f>
        <v>惡</v>
      </c>
      <c r="AA56" s="79" t="str">
        <f>數據!D55</f>
        <v>無</v>
      </c>
      <c r="AB56" s="51">
        <f>數據!P55</f>
        <v>36.764000000000003</v>
      </c>
      <c r="AD56" s="3" t="s">
        <v>62</v>
      </c>
      <c r="AE56" s="4" t="s">
        <v>71</v>
      </c>
      <c r="AF56" s="4" t="s">
        <v>131</v>
      </c>
      <c r="AG56" s="3">
        <f>_xlfn.XLOOKUP(AD56, 數據!B$2:B$50, 數據!M$2:M$50)</f>
        <v>201</v>
      </c>
      <c r="AH56" s="3" t="s">
        <v>6</v>
      </c>
      <c r="AI56" s="63">
        <f>AG56*IF(AH56="G", 450, IF(AH56="D", 350, 0)) * IF(AF56="Y", 1.2, 1)*(INDEX(屬性克制表!$B$2:$T$20, MATCH(AE56, 屬性克制表!$A$2:$A$20, 0), MATCH($L$1, 屬性克制表!$B$1:$T$1, 0)) * INDEX(屬性克制表!$B$2:$T$20, MATCH(AE56, 屬性克制表!$A$2:$A$20, 0), MATCH($M$1, 屬性克制表!$B$1:$T$1, 0)))</f>
        <v>70350</v>
      </c>
      <c r="AK56" s="80" t="str">
        <f t="shared" si="1"/>
        <v>月亮伊布</v>
      </c>
      <c r="AL56" s="66">
        <f>AB56/(INDEX(屬性克制表!$B$2:$T$20, MATCH($A$1, 屬性克制表!$A$2:$A$20, 0), MATCH(Z56, 屬性克制表!$B$1:$T$1, 0)) * INDEX(屬性克制表!$B$2:$T$20, MATCH($A$1, 屬性克制表!$A$2:$A$20, 0), MATCH(AA56, 屬性克制表!$B$1:$T$1, 0)))</f>
        <v>36.764000000000003</v>
      </c>
      <c r="AM56" s="80" t="str">
        <f t="shared" si="2"/>
        <v>月亮伊布</v>
      </c>
      <c r="AN56" s="56">
        <f>AB56/(INDEX(屬性克制表!$B$2:$T$20, MATCH($C$1, 屬性克制表!$A$2:$A$20, 0), MATCH(Z56, 屬性克制表!$B$1:$T$1, 0)) * INDEX(屬性克制表!$B$2:$T$20, MATCH($C$1, 屬性克制表!$A$2:$A$20, 0), MATCH(AA56, 屬性克制表!$B$1:$T$1, 0)))</f>
        <v>58.822400000000002</v>
      </c>
      <c r="AO56" s="80" t="str">
        <f t="shared" si="3"/>
        <v>月亮伊布</v>
      </c>
      <c r="AP56" s="56">
        <f>AB56/(INDEX(屬性克制表!$B$2:$T$20, MATCH($E$1, 屬性克制表!$A$2:$A$20, 0), MATCH(Z56, 屬性克制表!$B$1:$T$1, 0)) * INDEX(屬性克制表!$B$2:$T$20, MATCH($E$1, 屬性克制表!$A$2:$A$20, 0), MATCH(AA56, 屬性克制表!$B$1:$T$1, 0)))</f>
        <v>36.764000000000003</v>
      </c>
      <c r="AQ56" s="80" t="str">
        <f t="shared" si="4"/>
        <v>月亮伊布</v>
      </c>
      <c r="AR56" s="56">
        <f>AB56/(INDEX(屬性克制表!$B$2:$T$20, MATCH($G$1, 屬性克制表!$A$2:$A$20, 0), MATCH(Z56, 屬性克制表!$B$1:$T$1, 0)) * INDEX(屬性克制表!$B$2:$T$20, MATCH($G$1, 屬性克制表!$A$2:$A$20, 0), MATCH(AA56, 屬性克制表!$B$1:$T$1, 0)))</f>
        <v>22.977499999999999</v>
      </c>
    </row>
    <row r="57" spans="1:44">
      <c r="A57" s="74" t="str">
        <v>胡地</v>
      </c>
      <c r="B57" s="75">
        <v>18.288</v>
      </c>
      <c r="C57" s="73" t="str">
        <v>飛腿郎</v>
      </c>
      <c r="D57" s="75">
        <v>18.600000000000001</v>
      </c>
      <c r="E57" s="73" t="str">
        <v>耿鬼</v>
      </c>
      <c r="F57" s="75">
        <v>18.224</v>
      </c>
      <c r="G57" s="73" t="str">
        <v>巨鉗蟹</v>
      </c>
      <c r="H57" s="75">
        <v>19.431000000000001</v>
      </c>
      <c r="J57" s="48" t="str">
        <v>巨金怪</v>
      </c>
      <c r="K57" s="48" t="str">
        <v>蟲</v>
      </c>
      <c r="L57" s="48" t="str">
        <v>N</v>
      </c>
      <c r="M57" s="48">
        <v>214</v>
      </c>
      <c r="N57" s="48" t="str">
        <v>D</v>
      </c>
      <c r="O57" s="71">
        <v>74900</v>
      </c>
      <c r="P57" s="83">
        <f t="shared" si="0"/>
        <v>0.34315989326765184</v>
      </c>
      <c r="Q57" s="63"/>
      <c r="R57" s="63"/>
      <c r="S57" s="63"/>
      <c r="T57" s="63"/>
      <c r="U57" s="63"/>
      <c r="V57" s="63"/>
      <c r="W57" s="63"/>
      <c r="X57" s="63"/>
      <c r="Y57" s="79" t="str">
        <f>數據!B56</f>
        <v>葉伊布</v>
      </c>
      <c r="Z57" s="79" t="str">
        <f>數據!C56</f>
        <v>草</v>
      </c>
      <c r="AA57" s="79" t="str">
        <f>數據!D56</f>
        <v>無</v>
      </c>
      <c r="AB57" s="51">
        <f>數據!P56</f>
        <v>25.9</v>
      </c>
      <c r="AD57" s="7" t="s">
        <v>19</v>
      </c>
      <c r="AE57" s="3" t="s">
        <v>36</v>
      </c>
      <c r="AF57" s="3" t="s">
        <v>130</v>
      </c>
      <c r="AG57" s="3">
        <f>_xlfn.XLOOKUP(AD57, 數據!B$2:B$50, 數據!M$2:M$50)</f>
        <v>198</v>
      </c>
      <c r="AH57" s="7" t="s">
        <v>5</v>
      </c>
      <c r="AI57" s="63">
        <f>AG57*IF(AH57="G", 450, IF(AH57="D", 350, 0)) * IF(AF57="Y", 1.2, 1)*(INDEX(屬性克制表!$B$2:$T$20, MATCH(AE57, 屬性克制表!$A$2:$A$20, 0), MATCH($L$1, 屬性克制表!$B$1:$T$1, 0)) * INDEX(屬性克制表!$B$2:$T$20, MATCH(AE57, 屬性克制表!$A$2:$A$20, 0), MATCH($M$1, 屬性克制表!$B$1:$T$1, 0)))</f>
        <v>66825</v>
      </c>
      <c r="AK57" s="80" t="str">
        <f t="shared" si="1"/>
        <v>葉伊布</v>
      </c>
      <c r="AL57" s="66">
        <f>AB57/(INDEX(屬性克制表!$B$2:$T$20, MATCH($A$1, 屬性克制表!$A$2:$A$20, 0), MATCH(Z57, 屬性克制表!$B$1:$T$1, 0)) * INDEX(屬性克制表!$B$2:$T$20, MATCH($A$1, 屬性克制表!$A$2:$A$20, 0), MATCH(AA57, 屬性克制表!$B$1:$T$1, 0)))</f>
        <v>16.187499999999996</v>
      </c>
      <c r="AM57" s="80" t="str">
        <f t="shared" si="2"/>
        <v>葉伊布</v>
      </c>
      <c r="AN57" s="56">
        <f>AB57/(INDEX(屬性克制表!$B$2:$T$20, MATCH($C$1, 屬性克制表!$A$2:$A$20, 0), MATCH(Z57, 屬性克制表!$B$1:$T$1, 0)) * INDEX(屬性克制表!$B$2:$T$20, MATCH($C$1, 屬性克制表!$A$2:$A$20, 0), MATCH(AA57, 屬性克制表!$B$1:$T$1, 0)))</f>
        <v>25.9</v>
      </c>
      <c r="AO57" s="80" t="str">
        <f t="shared" si="3"/>
        <v>葉伊布</v>
      </c>
      <c r="AP57" s="56">
        <f>AB57/(INDEX(屬性克制表!$B$2:$T$20, MATCH($E$1, 屬性克制表!$A$2:$A$20, 0), MATCH(Z57, 屬性克制表!$B$1:$T$1, 0)) * INDEX(屬性克制表!$B$2:$T$20, MATCH($E$1, 屬性克制表!$A$2:$A$20, 0), MATCH(AA57, 屬性克制表!$B$1:$T$1, 0)))</f>
        <v>41.44</v>
      </c>
      <c r="AQ57" s="80" t="str">
        <f t="shared" si="4"/>
        <v>葉伊布</v>
      </c>
      <c r="AR57" s="56">
        <f>AB57/(INDEX(屬性克制表!$B$2:$T$20, MATCH($G$1, 屬性克制表!$A$2:$A$20, 0), MATCH(Z57, 屬性克制表!$B$1:$T$1, 0)) * INDEX(屬性克制表!$B$2:$T$20, MATCH($G$1, 屬性克制表!$A$2:$A$20, 0), MATCH(AA57, 屬性克制表!$B$1:$T$1, 0)))</f>
        <v>25.9</v>
      </c>
    </row>
    <row r="58" spans="1:44">
      <c r="A58" s="74" t="str">
        <v>耿鬼</v>
      </c>
      <c r="B58" s="75">
        <v>18.224</v>
      </c>
      <c r="C58" s="73" t="str">
        <v>千面避役</v>
      </c>
      <c r="D58" s="75">
        <v>18.081</v>
      </c>
      <c r="E58" s="73" t="str">
        <v>龐岩怪</v>
      </c>
      <c r="F58" s="75">
        <v>17.954999999999998</v>
      </c>
      <c r="G58" s="73" t="str">
        <v>飛腿郎</v>
      </c>
      <c r="H58" s="75">
        <v>18.600000000000001</v>
      </c>
      <c r="J58" s="48" t="str">
        <v>巨金怪</v>
      </c>
      <c r="K58" s="48" t="str">
        <v>幽靈</v>
      </c>
      <c r="L58" s="48" t="str">
        <v>N</v>
      </c>
      <c r="M58" s="48">
        <v>214</v>
      </c>
      <c r="N58" s="48" t="str">
        <v>D</v>
      </c>
      <c r="O58" s="71">
        <v>74900</v>
      </c>
      <c r="P58" s="83">
        <f t="shared" si="0"/>
        <v>0.34315989326765184</v>
      </c>
      <c r="Q58" s="63"/>
      <c r="R58" s="63"/>
      <c r="S58" s="63"/>
      <c r="T58" s="63"/>
      <c r="U58" s="63"/>
      <c r="V58" s="63"/>
      <c r="W58" s="63"/>
      <c r="X58" s="63"/>
      <c r="Y58" s="79" t="str">
        <f>數據!B57</f>
        <v>冰伊布</v>
      </c>
      <c r="Z58" s="79" t="str">
        <f>數據!C57</f>
        <v>冰</v>
      </c>
      <c r="AA58" s="79" t="str">
        <f>數據!D57</f>
        <v>無</v>
      </c>
      <c r="AB58" s="51">
        <f>數據!P57</f>
        <v>24.36</v>
      </c>
      <c r="AD58" s="3" t="s">
        <v>58</v>
      </c>
      <c r="AE58" s="4" t="s">
        <v>71</v>
      </c>
      <c r="AF58" s="4" t="s">
        <v>131</v>
      </c>
      <c r="AG58" s="3">
        <f>_xlfn.XLOOKUP(AD58, 數據!B$2:B$50, 數據!M$2:M$50)</f>
        <v>188</v>
      </c>
      <c r="AH58" s="3" t="s">
        <v>6</v>
      </c>
      <c r="AI58" s="63">
        <f>AG58*IF(AH58="G", 450, IF(AH58="D", 350, 0)) * IF(AF58="Y", 1.2, 1)*(INDEX(屬性克制表!$B$2:$T$20, MATCH(AE58, 屬性克制表!$A$2:$A$20, 0), MATCH($L$1, 屬性克制表!$B$1:$T$1, 0)) * INDEX(屬性克制表!$B$2:$T$20, MATCH(AE58, 屬性克制表!$A$2:$A$20, 0), MATCH($M$1, 屬性克制表!$B$1:$T$1, 0)))</f>
        <v>65800</v>
      </c>
      <c r="AK58" s="80" t="str">
        <f t="shared" si="1"/>
        <v>冰伊布</v>
      </c>
      <c r="AL58" s="66">
        <f>AB58/(INDEX(屬性克制表!$B$2:$T$20, MATCH($A$1, 屬性克制表!$A$2:$A$20, 0), MATCH(Z58, 屬性克制表!$B$1:$T$1, 0)) * INDEX(屬性克制表!$B$2:$T$20, MATCH($A$1, 屬性克制表!$A$2:$A$20, 0), MATCH(AA58, 屬性克制表!$B$1:$T$1, 0)))</f>
        <v>15.225</v>
      </c>
      <c r="AM58" s="80" t="str">
        <f t="shared" si="2"/>
        <v>冰伊布</v>
      </c>
      <c r="AN58" s="56">
        <f>AB58/(INDEX(屬性克制表!$B$2:$T$20, MATCH($C$1, 屬性克制表!$A$2:$A$20, 0), MATCH(Z58, 屬性克制表!$B$1:$T$1, 0)) * INDEX(屬性克制表!$B$2:$T$20, MATCH($C$1, 屬性克制表!$A$2:$A$20, 0), MATCH(AA58, 屬性克制表!$B$1:$T$1, 0)))</f>
        <v>24.36</v>
      </c>
      <c r="AO58" s="80" t="str">
        <f t="shared" si="3"/>
        <v>冰伊布</v>
      </c>
      <c r="AP58" s="56">
        <f>AB58/(INDEX(屬性克制表!$B$2:$T$20, MATCH($E$1, 屬性克制表!$A$2:$A$20, 0), MATCH(Z58, 屬性克制表!$B$1:$T$1, 0)) * INDEX(屬性克制表!$B$2:$T$20, MATCH($E$1, 屬性克制表!$A$2:$A$20, 0), MATCH(AA58, 屬性克制表!$B$1:$T$1, 0)))</f>
        <v>24.36</v>
      </c>
      <c r="AQ58" s="80" t="str">
        <f t="shared" si="4"/>
        <v>冰伊布</v>
      </c>
      <c r="AR58" s="56">
        <f>AB58/(INDEX(屬性克制表!$B$2:$T$20, MATCH($G$1, 屬性克制表!$A$2:$A$20, 0), MATCH(Z58, 屬性克制表!$B$1:$T$1, 0)) * INDEX(屬性克制表!$B$2:$T$20, MATCH($G$1, 屬性克制表!$A$2:$A$20, 0), MATCH(AA58, 屬性克制表!$B$1:$T$1, 0)))</f>
        <v>24.36</v>
      </c>
    </row>
    <row r="59" spans="1:44">
      <c r="A59" s="74" t="str">
        <v>轟擂金剛猩</v>
      </c>
      <c r="B59" s="75">
        <v>16.891874999999999</v>
      </c>
      <c r="C59" s="73" t="str">
        <v>拉帝歐斯</v>
      </c>
      <c r="D59" s="75">
        <v>17.38</v>
      </c>
      <c r="E59" s="73" t="str">
        <v>巴大蝶</v>
      </c>
      <c r="F59" s="75">
        <v>15.827</v>
      </c>
      <c r="G59" s="73" t="str">
        <v>胡地</v>
      </c>
      <c r="H59" s="75">
        <v>18.288</v>
      </c>
      <c r="J59" s="48" t="str">
        <v>千面避役</v>
      </c>
      <c r="K59" s="48" t="str">
        <v>水</v>
      </c>
      <c r="L59" s="48" t="str">
        <v>Y</v>
      </c>
      <c r="M59" s="48">
        <v>217</v>
      </c>
      <c r="N59" s="48" t="str">
        <v>G</v>
      </c>
      <c r="O59" s="71">
        <v>73237.5</v>
      </c>
      <c r="P59" s="83">
        <f t="shared" si="0"/>
        <v>0.33554302647783246</v>
      </c>
      <c r="Q59" s="63"/>
      <c r="R59" s="63"/>
      <c r="S59" s="63"/>
      <c r="T59" s="63"/>
      <c r="U59" s="63"/>
      <c r="V59" s="63"/>
      <c r="W59" s="63"/>
      <c r="X59" s="63"/>
      <c r="Y59" s="79" t="str">
        <f>數據!B58</f>
        <v>仙子伊布</v>
      </c>
      <c r="Z59" s="79" t="str">
        <f>數據!C58</f>
        <v>妖精</v>
      </c>
      <c r="AA59" s="79" t="str">
        <f>數據!D58</f>
        <v>無</v>
      </c>
      <c r="AB59" s="51">
        <f>數據!P58</f>
        <v>31.486000000000001</v>
      </c>
      <c r="AD59" s="3" t="s">
        <v>0</v>
      </c>
      <c r="AE59" s="4" t="s">
        <v>45</v>
      </c>
      <c r="AF59" s="4" t="s">
        <v>131</v>
      </c>
      <c r="AG59" s="3">
        <f>_xlfn.XLOOKUP(AD59, 數據!B$2:B$50, 數據!M$2:M$50)</f>
        <v>187</v>
      </c>
      <c r="AH59" s="3" t="s">
        <v>6</v>
      </c>
      <c r="AI59" s="63">
        <f>AG59*IF(AH59="G", 450, IF(AH59="D", 350, 0)) * IF(AF59="Y", 1.2, 1)*(INDEX(屬性克制表!$B$2:$T$20, MATCH(AE59, 屬性克制表!$A$2:$A$20, 0), MATCH($L$1, 屬性克制表!$B$1:$T$1, 0)) * INDEX(屬性克制表!$B$2:$T$20, MATCH(AE59, 屬性克制表!$A$2:$A$20, 0), MATCH($M$1, 屬性克制表!$B$1:$T$1, 0)))</f>
        <v>65450</v>
      </c>
      <c r="AK59" s="80" t="str">
        <f t="shared" si="1"/>
        <v>仙子伊布</v>
      </c>
      <c r="AL59" s="66">
        <f>AB59/(INDEX(屬性克制表!$B$2:$T$20, MATCH($A$1, 屬性克制表!$A$2:$A$20, 0), MATCH(Z59, 屬性克制表!$B$1:$T$1, 0)) * INDEX(屬性克制表!$B$2:$T$20, MATCH($A$1, 屬性克制表!$A$2:$A$20, 0), MATCH(AA59, 屬性克制表!$B$1:$T$1, 0)))</f>
        <v>31.486000000000001</v>
      </c>
      <c r="AM59" s="80" t="str">
        <f t="shared" si="2"/>
        <v>仙子伊布</v>
      </c>
      <c r="AN59" s="56">
        <f>AB59/(INDEX(屬性克制表!$B$2:$T$20, MATCH($C$1, 屬性克制表!$A$2:$A$20, 0), MATCH(Z59, 屬性克制表!$B$1:$T$1, 0)) * INDEX(屬性克制表!$B$2:$T$20, MATCH($C$1, 屬性克制表!$A$2:$A$20, 0), MATCH(AA59, 屬性克制表!$B$1:$T$1, 0)))</f>
        <v>31.486000000000001</v>
      </c>
      <c r="AO59" s="80" t="str">
        <f t="shared" si="3"/>
        <v>仙子伊布</v>
      </c>
      <c r="AP59" s="56">
        <f>AB59/(INDEX(屬性克制表!$B$2:$T$20, MATCH($E$1, 屬性克制表!$A$2:$A$20, 0), MATCH(Z59, 屬性克制表!$B$1:$T$1, 0)) * INDEX(屬性克制表!$B$2:$T$20, MATCH($E$1, 屬性克制表!$A$2:$A$20, 0), MATCH(AA59, 屬性克制表!$B$1:$T$1, 0)))</f>
        <v>31.486000000000001</v>
      </c>
      <c r="AQ59" s="80" t="str">
        <f t="shared" si="4"/>
        <v>仙子伊布</v>
      </c>
      <c r="AR59" s="56">
        <f>AB59/(INDEX(屬性克制表!$B$2:$T$20, MATCH($G$1, 屬性克制表!$A$2:$A$20, 0), MATCH(Z59, 屬性克制表!$B$1:$T$1, 0)) * INDEX(屬性克制表!$B$2:$T$20, MATCH($G$1, 屬性克制表!$A$2:$A$20, 0), MATCH(AA59, 屬性克制表!$B$1:$T$1, 0)))</f>
        <v>31.486000000000001</v>
      </c>
    </row>
    <row r="60" spans="1:44">
      <c r="A60" s="74" t="str">
        <v>幾何雪花</v>
      </c>
      <c r="B60" s="75">
        <v>16.434999999999999</v>
      </c>
      <c r="C60" s="73" t="str">
        <v>巴大蝶</v>
      </c>
      <c r="D60" s="75">
        <v>15.827</v>
      </c>
      <c r="E60" s="73" t="str">
        <v>閃焰王牌</v>
      </c>
      <c r="F60" s="75">
        <v>15.225</v>
      </c>
      <c r="G60" s="73" t="str">
        <v>千面避役</v>
      </c>
      <c r="H60" s="75">
        <v>18.081</v>
      </c>
      <c r="J60" s="48" t="str">
        <v>仙子伊布</v>
      </c>
      <c r="K60" s="48" t="str">
        <v>妖精</v>
      </c>
      <c r="L60" s="48" t="str">
        <v>Y</v>
      </c>
      <c r="M60" s="48">
        <v>172</v>
      </c>
      <c r="N60" s="48" t="str">
        <v>D</v>
      </c>
      <c r="O60" s="71">
        <v>72240</v>
      </c>
      <c r="P60" s="83">
        <f t="shared" si="0"/>
        <v>0.33097290640394084</v>
      </c>
      <c r="Q60" s="63"/>
      <c r="R60" s="63"/>
      <c r="S60" s="63"/>
      <c r="T60" s="63"/>
      <c r="U60" s="63"/>
      <c r="V60" s="63"/>
      <c r="W60" s="63"/>
      <c r="X60" s="63"/>
      <c r="Y60" s="79" t="str">
        <f>數據!B59</f>
        <v>艾路雷朵</v>
      </c>
      <c r="Z60" s="79" t="str">
        <f>數據!C59</f>
        <v>超能力</v>
      </c>
      <c r="AA60" s="79" t="str">
        <f>數據!D59</f>
        <v>格鬥</v>
      </c>
      <c r="AB60" s="51">
        <f>數據!P59</f>
        <v>24.07</v>
      </c>
      <c r="AD60" s="4" t="s">
        <v>54</v>
      </c>
      <c r="AE60" s="4" t="s">
        <v>73</v>
      </c>
      <c r="AF60" s="4" t="s">
        <v>131</v>
      </c>
      <c r="AG60" s="3">
        <f>_xlfn.XLOOKUP(AD60, 數據!B$2:B$50, 數據!M$2:M$50)</f>
        <v>185</v>
      </c>
      <c r="AH60" s="4" t="s">
        <v>6</v>
      </c>
      <c r="AI60" s="63">
        <f>AG60*IF(AH60="G", 450, IF(AH60="D", 350, 0)) * IF(AF60="Y", 1.2, 1)*(INDEX(屬性克制表!$B$2:$T$20, MATCH(AE60, 屬性克制表!$A$2:$A$20, 0), MATCH($L$1, 屬性克制表!$B$1:$T$1, 0)) * INDEX(屬性克制表!$B$2:$T$20, MATCH(AE60, 屬性克制表!$A$2:$A$20, 0), MATCH($M$1, 屬性克制表!$B$1:$T$1, 0)))</f>
        <v>40468.75</v>
      </c>
      <c r="AK60" s="80" t="str">
        <f t="shared" si="1"/>
        <v>艾路雷朵</v>
      </c>
      <c r="AL60" s="66">
        <f>AB60/(INDEX(屬性克制表!$B$2:$T$20, MATCH($A$1, 屬性克制表!$A$2:$A$20, 0), MATCH(Z60, 屬性克制表!$B$1:$T$1, 0)) * INDEX(屬性克制表!$B$2:$T$20, MATCH($A$1, 屬性克制表!$A$2:$A$20, 0), MATCH(AA60, 屬性克制表!$B$1:$T$1, 0)))</f>
        <v>24.07</v>
      </c>
      <c r="AM60" s="80" t="str">
        <f t="shared" si="2"/>
        <v>艾路雷朵</v>
      </c>
      <c r="AN60" s="56">
        <f>AB60/(INDEX(屬性克制表!$B$2:$T$20, MATCH($C$1, 屬性克制表!$A$2:$A$20, 0), MATCH(Z60, 屬性克制表!$B$1:$T$1, 0)) * INDEX(屬性克制表!$B$2:$T$20, MATCH($C$1, 屬性克制表!$A$2:$A$20, 0), MATCH(AA60, 屬性克制表!$B$1:$T$1, 0)))</f>
        <v>15.043749999999999</v>
      </c>
      <c r="AO60" s="80" t="str">
        <f t="shared" si="3"/>
        <v>艾路雷朵</v>
      </c>
      <c r="AP60" s="56">
        <f>AB60/(INDEX(屬性克制表!$B$2:$T$20, MATCH($E$1, 屬性克制表!$A$2:$A$20, 0), MATCH(Z60, 屬性克制表!$B$1:$T$1, 0)) * INDEX(屬性克制表!$B$2:$T$20, MATCH($E$1, 屬性克制表!$A$2:$A$20, 0), MATCH(AA60, 屬性克制表!$B$1:$T$1, 0)))</f>
        <v>24.07</v>
      </c>
      <c r="AQ60" s="80" t="str">
        <f t="shared" si="4"/>
        <v>艾路雷朵</v>
      </c>
      <c r="AR60" s="56">
        <f>AB60/(INDEX(屬性克制表!$B$2:$T$20, MATCH($G$1, 屬性克制表!$A$2:$A$20, 0), MATCH(Z60, 屬性克制表!$B$1:$T$1, 0)) * INDEX(屬性克制表!$B$2:$T$20, MATCH($G$1, 屬性克制表!$A$2:$A$20, 0), MATCH(AA60, 屬性克制表!$B$1:$T$1, 0)))</f>
        <v>24.07</v>
      </c>
    </row>
    <row r="61" spans="1:44">
      <c r="A61" s="81" t="str">
        <v>葉伊布</v>
      </c>
      <c r="B61" s="92">
        <v>16.187499999999996</v>
      </c>
      <c r="C61" s="76" t="str">
        <v>沙奈朵</v>
      </c>
      <c r="D61" s="92">
        <v>15.043749999999999</v>
      </c>
      <c r="E61" s="76" t="str">
        <v>心蝙蝠</v>
      </c>
      <c r="F61" s="92">
        <v>15.157999999999999</v>
      </c>
      <c r="G61" s="76" t="str">
        <v>武道熊師(一)</v>
      </c>
      <c r="H61" s="92">
        <v>17.625</v>
      </c>
      <c r="J61" s="48" t="str">
        <v>怪力</v>
      </c>
      <c r="K61" s="48" t="str">
        <v>鋼</v>
      </c>
      <c r="L61" s="48" t="str">
        <v>N</v>
      </c>
      <c r="M61" s="48">
        <v>201</v>
      </c>
      <c r="N61" s="48" t="str">
        <v>D</v>
      </c>
      <c r="O61" s="71">
        <v>70350</v>
      </c>
      <c r="P61" s="83">
        <f t="shared" si="0"/>
        <v>0.32231373152709353</v>
      </c>
      <c r="Q61" s="63"/>
      <c r="R61" s="63"/>
      <c r="S61" s="63"/>
      <c r="T61" s="63"/>
      <c r="U61" s="63"/>
      <c r="V61" s="63"/>
      <c r="W61" s="63"/>
      <c r="X61" s="63"/>
      <c r="Y61" s="79" t="str">
        <f>數據!B60</f>
        <v>烏賊王</v>
      </c>
      <c r="Z61" s="79" t="str">
        <f>數據!C60</f>
        <v>惡</v>
      </c>
      <c r="AA61" s="79" t="str">
        <f>數據!D60</f>
        <v>超能力</v>
      </c>
      <c r="AB61" s="51">
        <f>數據!P60</f>
        <v>23.998000000000001</v>
      </c>
      <c r="AD61" s="3" t="s">
        <v>54</v>
      </c>
      <c r="AE61" s="4" t="s">
        <v>46</v>
      </c>
      <c r="AF61" s="4" t="s">
        <v>131</v>
      </c>
      <c r="AG61" s="3">
        <f>_xlfn.XLOOKUP(AD61, 數據!B$2:B$50, 數據!M$2:M$50)</f>
        <v>185</v>
      </c>
      <c r="AH61" s="3" t="s">
        <v>6</v>
      </c>
      <c r="AI61" s="63">
        <f>AG61*IF(AH61="G", 450, IF(AH61="D", 350, 0)) * IF(AF61="Y", 1.2, 1)*(INDEX(屬性克制表!$B$2:$T$20, MATCH(AE61, 屬性克制表!$A$2:$A$20, 0), MATCH($L$1, 屬性克制表!$B$1:$T$1, 0)) * INDEX(屬性克制表!$B$2:$T$20, MATCH(AE61, 屬性克制表!$A$2:$A$20, 0), MATCH($M$1, 屬性克制表!$B$1:$T$1, 0)))</f>
        <v>64750</v>
      </c>
      <c r="AK61" s="80" t="str">
        <f t="shared" si="1"/>
        <v>烏賊王</v>
      </c>
      <c r="AL61" s="66">
        <f>AB61/(INDEX(屬性克制表!$B$2:$T$20, MATCH($A$1, 屬性克制表!$A$2:$A$20, 0), MATCH(Z61, 屬性克制表!$B$1:$T$1, 0)) * INDEX(屬性克制表!$B$2:$T$20, MATCH($A$1, 屬性克制表!$A$2:$A$20, 0), MATCH(AA61, 屬性克制表!$B$1:$T$1, 0)))</f>
        <v>23.998000000000001</v>
      </c>
      <c r="AM61" s="80" t="str">
        <f t="shared" si="2"/>
        <v>烏賊王</v>
      </c>
      <c r="AN61" s="56">
        <f>AB61/(INDEX(屬性克制表!$B$2:$T$20, MATCH($C$1, 屬性克制表!$A$2:$A$20, 0), MATCH(Z61, 屬性克制表!$B$1:$T$1, 0)) * INDEX(屬性克制表!$B$2:$T$20, MATCH($C$1, 屬性克制表!$A$2:$A$20, 0), MATCH(AA61, 屬性克制表!$B$1:$T$1, 0)))</f>
        <v>23.998000000000001</v>
      </c>
      <c r="AO61" s="80" t="str">
        <f t="shared" si="3"/>
        <v>烏賊王</v>
      </c>
      <c r="AP61" s="56">
        <f>AB61/(INDEX(屬性克制表!$B$2:$T$20, MATCH($E$1, 屬性克制表!$A$2:$A$20, 0), MATCH(Z61, 屬性克制表!$B$1:$T$1, 0)) * INDEX(屬性克制表!$B$2:$T$20, MATCH($E$1, 屬性克制表!$A$2:$A$20, 0), MATCH(AA61, 屬性克制表!$B$1:$T$1, 0)))</f>
        <v>23.998000000000001</v>
      </c>
      <c r="AQ61" s="80" t="str">
        <f t="shared" si="4"/>
        <v>烏賊王</v>
      </c>
      <c r="AR61" s="56">
        <f>AB61/(INDEX(屬性克制表!$B$2:$T$20, MATCH($G$1, 屬性克制表!$A$2:$A$20, 0), MATCH(Z61, 屬性克制表!$B$1:$T$1, 0)) * INDEX(屬性克制表!$B$2:$T$20, MATCH($G$1, 屬性克制表!$A$2:$A$20, 0), MATCH(AA61, 屬性克制表!$B$1:$T$1, 0)))</f>
        <v>14.998749999999999</v>
      </c>
    </row>
    <row r="62" spans="1:44">
      <c r="A62" s="74" t="str">
        <v>甜冷美后</v>
      </c>
      <c r="B62" s="68">
        <v>15.562499999999998</v>
      </c>
      <c r="C62" s="74" t="str">
        <v>艾路雷朵</v>
      </c>
      <c r="D62" s="68">
        <v>15.043749999999999</v>
      </c>
      <c r="E62" s="74" t="str">
        <v>火焰鳥</v>
      </c>
      <c r="F62" s="68">
        <v>14.873749999999998</v>
      </c>
      <c r="G62" s="74" t="str">
        <v>拉帝歐斯</v>
      </c>
      <c r="H62" s="68">
        <v>17.38</v>
      </c>
      <c r="J62" s="48" t="str">
        <v>鋁鋼龍</v>
      </c>
      <c r="K62" s="48" t="str">
        <v>一般</v>
      </c>
      <c r="L62" s="48" t="str">
        <v>N</v>
      </c>
      <c r="M62" s="48">
        <v>201</v>
      </c>
      <c r="N62" s="48" t="str">
        <v>D</v>
      </c>
      <c r="O62" s="71">
        <v>70350</v>
      </c>
      <c r="P62" s="83">
        <f t="shared" si="0"/>
        <v>0.32231373152709353</v>
      </c>
      <c r="Q62" s="63"/>
      <c r="R62" s="63"/>
      <c r="S62" s="63"/>
      <c r="T62" s="63"/>
      <c r="U62" s="63"/>
      <c r="V62" s="63"/>
      <c r="W62" s="63"/>
      <c r="X62" s="63"/>
      <c r="Y62" s="79" t="str">
        <f>數據!B61</f>
        <v>心蝙蝠</v>
      </c>
      <c r="Z62" s="79" t="str">
        <f>數據!C61</f>
        <v>超能力</v>
      </c>
      <c r="AA62" s="79" t="str">
        <f>數據!D61</f>
        <v>飛行</v>
      </c>
      <c r="AB62" s="51">
        <f>數據!P61</f>
        <v>15.157999999999999</v>
      </c>
      <c r="AD62" s="4" t="s">
        <v>84</v>
      </c>
      <c r="AE62" s="4" t="s">
        <v>73</v>
      </c>
      <c r="AF62" s="4" t="s">
        <v>131</v>
      </c>
      <c r="AG62" s="3">
        <f>_xlfn.XLOOKUP(AD62, 數據!B$2:B$50, 數據!M$2:M$50)</f>
        <v>177</v>
      </c>
      <c r="AH62" s="4" t="s">
        <v>6</v>
      </c>
      <c r="AI62" s="63">
        <f>AG62*IF(AH62="G", 450, IF(AH62="D", 350, 0)) * IF(AF62="Y", 1.2, 1)*(INDEX(屬性克制表!$B$2:$T$20, MATCH(AE62, 屬性克制表!$A$2:$A$20, 0), MATCH($L$1, 屬性克制表!$B$1:$T$1, 0)) * INDEX(屬性克制表!$B$2:$T$20, MATCH(AE62, 屬性克制表!$A$2:$A$20, 0), MATCH($M$1, 屬性克制表!$B$1:$T$1, 0)))</f>
        <v>38718.75</v>
      </c>
      <c r="AK62" s="80" t="str">
        <f t="shared" si="1"/>
        <v>心蝙蝠</v>
      </c>
      <c r="AL62" s="66">
        <f>AB62/(INDEX(屬性克制表!$B$2:$T$20, MATCH($A$1, 屬性克制表!$A$2:$A$20, 0), MATCH(Z62, 屬性克制表!$B$1:$T$1, 0)) * INDEX(屬性克制表!$B$2:$T$20, MATCH($A$1, 屬性克制表!$A$2:$A$20, 0), MATCH(AA62, 屬性克制表!$B$1:$T$1, 0)))</f>
        <v>15.157999999999999</v>
      </c>
      <c r="AM62" s="80" t="str">
        <f t="shared" si="2"/>
        <v>心蝙蝠</v>
      </c>
      <c r="AN62" s="56">
        <f>AB62/(INDEX(屬性克制表!$B$2:$T$20, MATCH($C$1, 屬性克制表!$A$2:$A$20, 0), MATCH(Z62, 屬性克制表!$B$1:$T$1, 0)) * INDEX(屬性克制表!$B$2:$T$20, MATCH($C$1, 屬性克制表!$A$2:$A$20, 0), MATCH(AA62, 屬性克制表!$B$1:$T$1, 0)))</f>
        <v>9.473749999999999</v>
      </c>
      <c r="AO62" s="80" t="str">
        <f t="shared" si="3"/>
        <v>心蝙蝠</v>
      </c>
      <c r="AP62" s="56">
        <f>AB62/(INDEX(屬性克制表!$B$2:$T$20, MATCH($E$1, 屬性克制表!$A$2:$A$20, 0), MATCH(Z62, 屬性克制表!$B$1:$T$1, 0)) * INDEX(屬性克制表!$B$2:$T$20, MATCH($E$1, 屬性克制表!$A$2:$A$20, 0), MATCH(AA62, 屬性克制表!$B$1:$T$1, 0)))</f>
        <v>15.157999999999999</v>
      </c>
      <c r="AQ62" s="80" t="str">
        <f t="shared" si="4"/>
        <v>心蝙蝠</v>
      </c>
      <c r="AR62" s="56">
        <f>AB62/(INDEX(屬性克制表!$B$2:$T$20, MATCH($G$1, 屬性克制表!$A$2:$A$20, 0), MATCH(Z62, 屬性克制表!$B$1:$T$1, 0)) * INDEX(屬性克制表!$B$2:$T$20, MATCH($G$1, 屬性克制表!$A$2:$A$20, 0), MATCH(AA62, 屬性克制表!$B$1:$T$1, 0)))</f>
        <v>15.157999999999999</v>
      </c>
    </row>
    <row r="63" spans="1:44">
      <c r="A63" s="74" t="str">
        <v>冰伊布</v>
      </c>
      <c r="B63" s="68">
        <v>15.225</v>
      </c>
      <c r="C63" s="74" t="str">
        <v>拉帝亞斯</v>
      </c>
      <c r="D63" s="68">
        <v>13.942499999999999</v>
      </c>
      <c r="E63" s="74" t="str">
        <v>龍頭地鼠</v>
      </c>
      <c r="F63" s="68">
        <v>14.80625</v>
      </c>
      <c r="G63" s="74" t="str">
        <v>巴大蝶</v>
      </c>
      <c r="H63" s="68">
        <v>15.827</v>
      </c>
      <c r="J63" s="48" t="str">
        <v>艾路雷朵</v>
      </c>
      <c r="K63" s="48" t="str">
        <v>妖精</v>
      </c>
      <c r="L63" s="48" t="str">
        <v>N</v>
      </c>
      <c r="M63" s="48">
        <v>199</v>
      </c>
      <c r="N63" s="48" t="str">
        <v>D</v>
      </c>
      <c r="O63" s="71">
        <v>69650</v>
      </c>
      <c r="P63" s="83">
        <f t="shared" si="0"/>
        <v>0.3191066297208538</v>
      </c>
      <c r="Q63" s="63"/>
      <c r="R63" s="63"/>
      <c r="S63" s="63"/>
      <c r="T63" s="63"/>
      <c r="U63" s="63"/>
      <c r="V63" s="63"/>
      <c r="W63" s="63"/>
      <c r="X63" s="63"/>
      <c r="Y63" s="79" t="str">
        <f>數據!B62</f>
        <v>超極巨灰塵山</v>
      </c>
      <c r="Z63" s="79" t="str">
        <f>數據!C62</f>
        <v>毒</v>
      </c>
      <c r="AA63" s="79" t="str">
        <f>數據!D62</f>
        <v>無</v>
      </c>
      <c r="AB63" s="51">
        <f>數據!P62</f>
        <v>22.4</v>
      </c>
      <c r="AD63" s="3" t="s">
        <v>34</v>
      </c>
      <c r="AE63" s="4" t="s">
        <v>46</v>
      </c>
      <c r="AF63" s="4" t="s">
        <v>130</v>
      </c>
      <c r="AG63" s="3">
        <f>_xlfn.XLOOKUP(AD63, 數據!B$2:B$50, 數據!M$2:M$50)</f>
        <v>143</v>
      </c>
      <c r="AH63" s="3" t="s">
        <v>6</v>
      </c>
      <c r="AI63" s="63">
        <f>AG63*IF(AH63="G", 450, IF(AH63="D", 350, 0)) * IF(AF63="Y", 1.2, 1)*(INDEX(屬性克制表!$B$2:$T$20, MATCH(AE63, 屬性克制表!$A$2:$A$20, 0), MATCH($L$1, 屬性克制表!$B$1:$T$1, 0)) * INDEX(屬性克制表!$B$2:$T$20, MATCH(AE63, 屬性克制表!$A$2:$A$20, 0), MATCH($M$1, 屬性克制表!$B$1:$T$1, 0)))</f>
        <v>60060</v>
      </c>
      <c r="AK63" s="80" t="str">
        <f t="shared" ref="AK63:AK66" si="5">Y63</f>
        <v>超極巨灰塵山</v>
      </c>
      <c r="AL63" s="66">
        <f>AB63/(INDEX(屬性克制表!$B$2:$T$20, MATCH($A$1, 屬性克制表!$A$2:$A$20, 0), MATCH(Z63, 屬性克制表!$B$1:$T$1, 0)) * INDEX(屬性克制表!$B$2:$T$20, MATCH($A$1, 屬性克制表!$A$2:$A$20, 0), MATCH(AA63, 屬性克制表!$B$1:$T$1, 0)))</f>
        <v>22.4</v>
      </c>
      <c r="AM63" s="80" t="str">
        <f t="shared" ref="AM63:AM66" si="6">Y63</f>
        <v>超極巨灰塵山</v>
      </c>
      <c r="AN63" s="56">
        <f>AB63/(INDEX(屬性克制表!$B$2:$T$20, MATCH($C$1, 屬性克制表!$A$2:$A$20, 0), MATCH(Z63, 屬性克制表!$B$1:$T$1, 0)) * INDEX(屬性克制表!$B$2:$T$20, MATCH($C$1, 屬性克制表!$A$2:$A$20, 0), MATCH(AA63, 屬性克制表!$B$1:$T$1, 0)))</f>
        <v>22.4</v>
      </c>
      <c r="AO63" s="80" t="str">
        <f t="shared" ref="AO63:AO66" si="7">Y63</f>
        <v>超極巨灰塵山</v>
      </c>
      <c r="AP63" s="56">
        <f>AB63/(INDEX(屬性克制表!$B$2:$T$20, MATCH($E$1, 屬性克制表!$A$2:$A$20, 0), MATCH(Z63, 屬性克制表!$B$1:$T$1, 0)) * INDEX(屬性克制表!$B$2:$T$20, MATCH($E$1, 屬性克制表!$A$2:$A$20, 0), MATCH(AA63, 屬性克制表!$B$1:$T$1, 0)))</f>
        <v>22.4</v>
      </c>
      <c r="AQ63" s="80" t="str">
        <f t="shared" ref="AQ63:AQ66" si="8">Y63</f>
        <v>超極巨灰塵山</v>
      </c>
      <c r="AR63" s="56">
        <f>AB63/(INDEX(屬性克制表!$B$2:$T$20, MATCH($G$1, 屬性克制表!$A$2:$A$20, 0), MATCH(Z63, 屬性克制表!$B$1:$T$1, 0)) * INDEX(屬性克制表!$B$2:$T$20, MATCH($G$1, 屬性克制表!$A$2:$A$20, 0), MATCH(AA63, 屬性克制表!$B$1:$T$1, 0)))</f>
        <v>35.839999999999996</v>
      </c>
    </row>
    <row r="64" spans="1:44">
      <c r="A64" s="74" t="str">
        <v>心蝙蝠</v>
      </c>
      <c r="B64" s="68">
        <v>15.157999999999999</v>
      </c>
      <c r="C64" s="74" t="str">
        <v>勾魂眼</v>
      </c>
      <c r="D64" s="68">
        <v>13.688000000000001</v>
      </c>
      <c r="E64" s="74" t="str">
        <v>炎帝</v>
      </c>
      <c r="F64" s="68">
        <v>14.719999999999999</v>
      </c>
      <c r="G64" s="74" t="str">
        <v>心蝙蝠</v>
      </c>
      <c r="H64" s="68">
        <v>15.157999999999999</v>
      </c>
      <c r="J64" s="48" t="str">
        <v>巨鉗蟹</v>
      </c>
      <c r="K64" s="48" t="str">
        <v>鋼</v>
      </c>
      <c r="L64" s="48" t="str">
        <v>N</v>
      </c>
      <c r="M64" s="48">
        <v>198</v>
      </c>
      <c r="N64" s="48" t="str">
        <v>D</v>
      </c>
      <c r="O64" s="71">
        <v>69300</v>
      </c>
      <c r="P64" s="83">
        <f t="shared" si="0"/>
        <v>0.31750307881773393</v>
      </c>
      <c r="Q64" s="63"/>
      <c r="R64" s="63"/>
      <c r="S64" s="63"/>
      <c r="T64" s="63"/>
      <c r="U64" s="63"/>
      <c r="V64" s="63"/>
      <c r="W64" s="63"/>
      <c r="X64" s="63"/>
      <c r="Y64" s="79" t="str">
        <f>數據!B63</f>
        <v>洛奇亞</v>
      </c>
      <c r="Z64" s="79" t="str">
        <f>數據!C63</f>
        <v>超能力</v>
      </c>
      <c r="AA64" s="79" t="str">
        <f>數據!D63</f>
        <v>飛行</v>
      </c>
      <c r="AB64" s="51">
        <f>數據!P63</f>
        <v>50.628999999999998</v>
      </c>
      <c r="AD64" s="3" t="s">
        <v>61</v>
      </c>
      <c r="AE64" s="3" t="s">
        <v>43</v>
      </c>
      <c r="AF64" s="3" t="s">
        <v>130</v>
      </c>
      <c r="AG64" s="3">
        <f>_xlfn.XLOOKUP(AD64, 數據!B$2:B$50, 數據!M$2:M$50)</f>
        <v>140</v>
      </c>
      <c r="AH64" s="3" t="s">
        <v>6</v>
      </c>
      <c r="AI64" s="63">
        <f>AG64*IF(AH64="G", 450, IF(AH64="D", 350, 0)) * IF(AF64="Y", 1.2, 1)*(INDEX(屬性克制表!$B$2:$T$20, MATCH(AE64, 屬性克制表!$A$2:$A$20, 0), MATCH($L$1, 屬性克制表!$B$1:$T$1, 0)) * INDEX(屬性克制表!$B$2:$T$20, MATCH(AE64, 屬性克制表!$A$2:$A$20, 0), MATCH($M$1, 屬性克制表!$B$1:$T$1, 0)))</f>
        <v>150528.00000000003</v>
      </c>
      <c r="AK64" s="80" t="str">
        <f t="shared" si="5"/>
        <v>洛奇亞</v>
      </c>
      <c r="AL64" s="66">
        <f>AB64/(INDEX(屬性克制表!$B$2:$T$20, MATCH($A$1, 屬性克制表!$A$2:$A$20, 0), MATCH(Z64, 屬性克制表!$B$1:$T$1, 0)) * INDEX(屬性克制表!$B$2:$T$20, MATCH($A$1, 屬性克制表!$A$2:$A$20, 0), MATCH(AA64, 屬性克制表!$B$1:$T$1, 0)))</f>
        <v>50.628999999999998</v>
      </c>
      <c r="AM64" s="80" t="str">
        <f t="shared" si="6"/>
        <v>洛奇亞</v>
      </c>
      <c r="AN64" s="56">
        <f>AB64/(INDEX(屬性克制表!$B$2:$T$20, MATCH($C$1, 屬性克制表!$A$2:$A$20, 0), MATCH(Z64, 屬性克制表!$B$1:$T$1, 0)) * INDEX(屬性克制表!$B$2:$T$20, MATCH($C$1, 屬性克制表!$A$2:$A$20, 0), MATCH(AA64, 屬性克制表!$B$1:$T$1, 0)))</f>
        <v>31.643124999999998</v>
      </c>
      <c r="AO64" s="80" t="str">
        <f t="shared" si="7"/>
        <v>洛奇亞</v>
      </c>
      <c r="AP64" s="56">
        <f>AB64/(INDEX(屬性克制表!$B$2:$T$20, MATCH($E$1, 屬性克制表!$A$2:$A$20, 0), MATCH(Z64, 屬性克制表!$B$1:$T$1, 0)) * INDEX(屬性克制表!$B$2:$T$20, MATCH($E$1, 屬性克制表!$A$2:$A$20, 0), MATCH(AA64, 屬性克制表!$B$1:$T$1, 0)))</f>
        <v>50.628999999999998</v>
      </c>
      <c r="AQ64" s="80" t="str">
        <f t="shared" si="8"/>
        <v>洛奇亞</v>
      </c>
      <c r="AR64" s="56">
        <f>AB64/(INDEX(屬性克制表!$B$2:$T$20, MATCH($G$1, 屬性克制表!$A$2:$A$20, 0), MATCH(Z64, 屬性克制表!$B$1:$T$1, 0)) * INDEX(屬性克制表!$B$2:$T$20, MATCH($G$1, 屬性克制表!$A$2:$A$20, 0), MATCH(AA64, 屬性克制表!$B$1:$T$1, 0)))</f>
        <v>50.628999999999998</v>
      </c>
    </row>
    <row r="65" spans="1:44">
      <c r="A65" s="74" t="str">
        <v>妙蛙花</v>
      </c>
      <c r="B65" s="68">
        <v>14.819999999999999</v>
      </c>
      <c r="C65" s="74" t="str">
        <v>太陽伊布</v>
      </c>
      <c r="D65" s="68">
        <v>13.125</v>
      </c>
      <c r="E65" s="74" t="str">
        <v>噴火龍</v>
      </c>
      <c r="F65" s="68">
        <v>14.137499999999999</v>
      </c>
      <c r="G65" s="74" t="str">
        <v>烏賊王</v>
      </c>
      <c r="H65" s="68">
        <v>14.998749999999999</v>
      </c>
      <c r="J65" s="48" t="str">
        <v>快拳郎</v>
      </c>
      <c r="K65" s="48" t="str">
        <v>格鬥</v>
      </c>
      <c r="L65" s="48" t="str">
        <v>Y</v>
      </c>
      <c r="M65" s="48">
        <v>164</v>
      </c>
      <c r="N65" s="48" t="str">
        <v>D</v>
      </c>
      <c r="O65" s="71">
        <v>68880</v>
      </c>
      <c r="P65" s="83">
        <f t="shared" si="0"/>
        <v>0.3155788177339901</v>
      </c>
      <c r="Q65" s="63"/>
      <c r="R65" s="63"/>
      <c r="S65" s="63"/>
      <c r="T65" s="63"/>
      <c r="U65" s="63"/>
      <c r="V65" s="63"/>
      <c r="W65" s="63"/>
      <c r="X65" s="63"/>
      <c r="Y65" s="79" t="str">
        <f>數據!B64</f>
        <v>飛腿郎</v>
      </c>
      <c r="Z65" s="79" t="str">
        <f>數據!C64</f>
        <v>格鬥</v>
      </c>
      <c r="AA65" s="79" t="str">
        <f>數據!D64</f>
        <v>無</v>
      </c>
      <c r="AB65" s="51">
        <f>數據!P64</f>
        <v>18.600000000000001</v>
      </c>
      <c r="AD65" s="3" t="s">
        <v>61</v>
      </c>
      <c r="AE65" s="4" t="s">
        <v>71</v>
      </c>
      <c r="AF65" s="4" t="s">
        <v>130</v>
      </c>
      <c r="AG65" s="3">
        <f>_xlfn.XLOOKUP(AD65, 數據!B$2:B$50, 數據!M$2:M$50)</f>
        <v>140</v>
      </c>
      <c r="AH65" s="3" t="s">
        <v>6</v>
      </c>
      <c r="AI65" s="63">
        <f>AG65*IF(AH65="G", 450, IF(AH65="D", 350, 0)) * IF(AF65="Y", 1.2, 1)*(INDEX(屬性克制表!$B$2:$T$20, MATCH(AE65, 屬性克制表!$A$2:$A$20, 0), MATCH($L$1, 屬性克制表!$B$1:$T$1, 0)) * INDEX(屬性克制表!$B$2:$T$20, MATCH(AE65, 屬性克制表!$A$2:$A$20, 0), MATCH($M$1, 屬性克制表!$B$1:$T$1, 0)))</f>
        <v>58800</v>
      </c>
      <c r="AK65" s="80" t="str">
        <f t="shared" si="5"/>
        <v>飛腿郎</v>
      </c>
      <c r="AL65" s="66">
        <f>AB65/(INDEX(屬性克制表!$B$2:$T$20, MATCH($A$1, 屬性克制表!$A$2:$A$20, 0), MATCH(Z65, 屬性克制表!$B$1:$T$1, 0)) * INDEX(屬性克制表!$B$2:$T$20, MATCH($A$1, 屬性克制表!$A$2:$A$20, 0), MATCH(AA65, 屬性克制表!$B$1:$T$1, 0)))</f>
        <v>18.600000000000001</v>
      </c>
      <c r="AM65" s="80" t="str">
        <f t="shared" si="6"/>
        <v>飛腿郎</v>
      </c>
      <c r="AN65" s="56">
        <f>AB65/(INDEX(屬性克制表!$B$2:$T$20, MATCH($C$1, 屬性克制表!$A$2:$A$20, 0), MATCH(Z65, 屬性克制表!$B$1:$T$1, 0)) * INDEX(屬性克制表!$B$2:$T$20, MATCH($C$1, 屬性克制表!$A$2:$A$20, 0), MATCH(AA65, 屬性克制表!$B$1:$T$1, 0)))</f>
        <v>18.600000000000001</v>
      </c>
      <c r="AO65" s="80" t="str">
        <f t="shared" si="7"/>
        <v>飛腿郎</v>
      </c>
      <c r="AP65" s="56">
        <f>AB65/(INDEX(屬性克制表!$B$2:$T$20, MATCH($E$1, 屬性克制表!$A$2:$A$20, 0), MATCH(Z65, 屬性克制表!$B$1:$T$1, 0)) * INDEX(屬性克制表!$B$2:$T$20, MATCH($E$1, 屬性克制表!$A$2:$A$20, 0), MATCH(AA65, 屬性克制表!$B$1:$T$1, 0)))</f>
        <v>18.600000000000001</v>
      </c>
      <c r="AQ65" s="80" t="str">
        <f t="shared" si="8"/>
        <v>飛腿郎</v>
      </c>
      <c r="AR65" s="56">
        <f>AB65/(INDEX(屬性克制表!$B$2:$T$20, MATCH($G$1, 屬性克制表!$A$2:$A$20, 0), MATCH(Z65, 屬性克制表!$B$1:$T$1, 0)) * INDEX(屬性克制表!$B$2:$T$20, MATCH($G$1, 屬性克制表!$A$2:$A$20, 0), MATCH(AA65, 屬性克制表!$B$1:$T$1, 0)))</f>
        <v>18.600000000000001</v>
      </c>
    </row>
    <row r="66" spans="1:44">
      <c r="A66" s="74" t="str">
        <v>龍頭地鼠</v>
      </c>
      <c r="B66" s="3">
        <v>14.80625</v>
      </c>
      <c r="C66" s="74" t="str">
        <v>布莉姆溫</v>
      </c>
      <c r="D66" s="68">
        <v>12.399999999999999</v>
      </c>
      <c r="E66" s="74" t="str">
        <v>勾魂眼</v>
      </c>
      <c r="F66" s="68">
        <v>13.688000000000001</v>
      </c>
      <c r="G66" s="74" t="str">
        <v>拉帝亞斯</v>
      </c>
      <c r="H66" s="68">
        <v>13.942499999999999</v>
      </c>
      <c r="J66" s="48" t="str">
        <v>老翁龍</v>
      </c>
      <c r="K66" s="48" t="str">
        <v>一般</v>
      </c>
      <c r="L66" s="48" t="str">
        <v>N</v>
      </c>
      <c r="M66" s="48">
        <v>194</v>
      </c>
      <c r="N66" s="48" t="str">
        <v>D</v>
      </c>
      <c r="O66" s="71">
        <v>67900</v>
      </c>
      <c r="P66" s="83">
        <f t="shared" si="0"/>
        <v>0.31108887520525447</v>
      </c>
      <c r="Q66" s="63"/>
      <c r="R66" s="63"/>
      <c r="S66" s="63"/>
      <c r="T66" s="63"/>
      <c r="U66" s="63"/>
      <c r="V66" s="63"/>
      <c r="W66" s="63"/>
      <c r="X66" s="63"/>
      <c r="Y66" s="79" t="str">
        <f>數據!B65</f>
        <v>快拳郎</v>
      </c>
      <c r="Z66" s="79" t="str">
        <f>數據!C65</f>
        <v>格鬥</v>
      </c>
      <c r="AA66" s="79" t="str">
        <f>數據!D65</f>
        <v>無</v>
      </c>
      <c r="AB66" s="51">
        <f>數據!P65</f>
        <v>20.16</v>
      </c>
      <c r="AD66" s="7" t="s">
        <v>18</v>
      </c>
      <c r="AE66" s="3" t="s">
        <v>36</v>
      </c>
      <c r="AF66" s="3" t="s">
        <v>130</v>
      </c>
      <c r="AG66" s="3">
        <f>_xlfn.XLOOKUP(AD66, 數據!B$2:B$50, 數據!M$2:M$50)</f>
        <v>210</v>
      </c>
      <c r="AH66" s="7" t="s">
        <v>6</v>
      </c>
      <c r="AI66" s="63">
        <f>AG66*IF(AH66="G", 450, IF(AH66="D", 350, 0)) * IF(AF66="Y", 1.2, 1)*(INDEX(屬性克制表!$B$2:$T$20, MATCH(AE66, 屬性克制表!$A$2:$A$20, 0), MATCH($L$1, 屬性克制表!$B$1:$T$1, 0)) * INDEX(屬性克制表!$B$2:$T$20, MATCH(AE66, 屬性克制表!$A$2:$A$20, 0), MATCH($M$1, 屬性克制表!$B$1:$T$1, 0)))</f>
        <v>55125</v>
      </c>
      <c r="AK66" s="80" t="str">
        <f t="shared" si="5"/>
        <v>快拳郎</v>
      </c>
      <c r="AL66" s="66">
        <f>AB66/(INDEX(屬性克制表!$B$2:$T$20, MATCH($A$1, 屬性克制表!$A$2:$A$20, 0), MATCH(Z66, 屬性克制表!$B$1:$T$1, 0)) * INDEX(屬性克制表!$B$2:$T$20, MATCH($A$1, 屬性克制表!$A$2:$A$20, 0), MATCH(AA66, 屬性克制表!$B$1:$T$1, 0)))</f>
        <v>20.16</v>
      </c>
      <c r="AM66" s="80" t="str">
        <f t="shared" si="6"/>
        <v>快拳郎</v>
      </c>
      <c r="AN66" s="56">
        <f>AB66/(INDEX(屬性克制表!$B$2:$T$20, MATCH($C$1, 屬性克制表!$A$2:$A$20, 0), MATCH(Z66, 屬性克制表!$B$1:$T$1, 0)) * INDEX(屬性克制表!$B$2:$T$20, MATCH($C$1, 屬性克制表!$A$2:$A$20, 0), MATCH(AA66, 屬性克制表!$B$1:$T$1, 0)))</f>
        <v>20.16</v>
      </c>
      <c r="AO66" s="80" t="str">
        <f t="shared" si="7"/>
        <v>快拳郎</v>
      </c>
      <c r="AP66" s="56">
        <f>AB66/(INDEX(屬性克制表!$B$2:$T$20, MATCH($E$1, 屬性克制表!$A$2:$A$20, 0), MATCH(Z66, 屬性克制表!$B$1:$T$1, 0)) * INDEX(屬性克制表!$B$2:$T$20, MATCH($E$1, 屬性克制表!$A$2:$A$20, 0), MATCH(AA66, 屬性克制表!$B$1:$T$1, 0)))</f>
        <v>20.16</v>
      </c>
      <c r="AQ66" s="80" t="str">
        <f t="shared" si="8"/>
        <v>快拳郎</v>
      </c>
      <c r="AR66" s="56">
        <f>AB66/(INDEX(屬性克制表!$B$2:$T$20, MATCH($G$1, 屬性克制表!$A$2:$A$20, 0), MATCH(Z66, 屬性克制表!$B$1:$T$1, 0)) * INDEX(屬性克制表!$B$2:$T$20, MATCH($G$1, 屬性克制表!$A$2:$A$20, 0), MATCH(AA66, 屬性克制表!$B$1:$T$1, 0)))</f>
        <v>20.16</v>
      </c>
    </row>
    <row r="67" spans="1:44">
      <c r="A67" s="74" t="str">
        <v>勾魂眼</v>
      </c>
      <c r="B67" s="3">
        <v>13.688000000000001</v>
      </c>
      <c r="C67" s="74" t="str">
        <v>胡地</v>
      </c>
      <c r="D67" s="68">
        <v>11.43</v>
      </c>
      <c r="E67" s="74" t="str">
        <v>火伊布</v>
      </c>
      <c r="F67" s="68">
        <v>13.387500000000001</v>
      </c>
      <c r="G67" s="74" t="str">
        <v>老翁龍</v>
      </c>
      <c r="H67" s="68">
        <v>13.923749999999998</v>
      </c>
      <c r="J67" s="48" t="str">
        <v>轟擂金剛猩</v>
      </c>
      <c r="K67" s="48" t="str">
        <v>草</v>
      </c>
      <c r="L67" s="48" t="str">
        <v>Y</v>
      </c>
      <c r="M67" s="48">
        <v>200</v>
      </c>
      <c r="N67" s="48" t="str">
        <v>G</v>
      </c>
      <c r="O67" s="71">
        <v>67500</v>
      </c>
      <c r="P67" s="83">
        <f t="shared" si="0"/>
        <v>0.30925624560168891</v>
      </c>
      <c r="Q67" s="63"/>
      <c r="R67" s="63"/>
      <c r="S67" s="63"/>
      <c r="T67" s="63"/>
      <c r="U67" s="63"/>
      <c r="V67" s="63"/>
      <c r="W67" s="63"/>
      <c r="X67" s="63"/>
      <c r="Y67" s="79" t="str">
        <f>數據!B66</f>
        <v>帝牙海獅</v>
      </c>
      <c r="Z67" s="79" t="str">
        <f>數據!C66</f>
        <v>水</v>
      </c>
      <c r="AA67" s="79" t="str">
        <f>數據!D66</f>
        <v>冰</v>
      </c>
      <c r="AB67" s="51">
        <f>數據!P66</f>
        <v>30.652999999999999</v>
      </c>
      <c r="AD67" s="3" t="s">
        <v>52</v>
      </c>
      <c r="AE67" s="4" t="s">
        <v>46</v>
      </c>
      <c r="AF67" s="4" t="s">
        <v>131</v>
      </c>
      <c r="AG67" s="3">
        <f>_xlfn.XLOOKUP(AD67, 數據!B$2:B$50, 數據!M$2:M$50)</f>
        <v>153</v>
      </c>
      <c r="AH67" s="3" t="s">
        <v>6</v>
      </c>
      <c r="AI67" s="63">
        <f>AG67*IF(AH67="G", 450, IF(AH67="D", 350, 0)) * IF(AF67="Y", 1.2, 1)*(INDEX(屬性克制表!$B$2:$T$20, MATCH(AE67, 屬性克制表!$A$2:$A$20, 0), MATCH($L$1, 屬性克制表!$B$1:$T$1, 0)) * INDEX(屬性克制表!$B$2:$T$20, MATCH(AE67, 屬性克制表!$A$2:$A$20, 0), MATCH($M$1, 屬性克制表!$B$1:$T$1, 0)))</f>
        <v>53550</v>
      </c>
      <c r="AK67" s="80" t="str">
        <f t="shared" ref="AK67:AK69" si="9">Y67</f>
        <v>帝牙海獅</v>
      </c>
      <c r="AL67" s="66">
        <f>AB67/(INDEX(屬性克制表!$B$2:$T$20, MATCH($A$1, 屬性克制表!$A$2:$A$20, 0), MATCH(Z67, 屬性克制表!$B$1:$T$1, 0)) * INDEX(屬性克制表!$B$2:$T$20, MATCH($A$1, 屬性克制表!$A$2:$A$20, 0), MATCH(AA67, 屬性克制表!$B$1:$T$1, 0)))</f>
        <v>30.652999999999999</v>
      </c>
      <c r="AM67" s="80" t="str">
        <f t="shared" ref="AM67:AM69" si="10">Y67</f>
        <v>帝牙海獅</v>
      </c>
      <c r="AN67" s="56">
        <f>AB67/(INDEX(屬性克制表!$B$2:$T$20, MATCH($C$1, 屬性克制表!$A$2:$A$20, 0), MATCH(Z67, 屬性克制表!$B$1:$T$1, 0)) * INDEX(屬性克制表!$B$2:$T$20, MATCH($C$1, 屬性克制表!$A$2:$A$20, 0), MATCH(AA67, 屬性克制表!$B$1:$T$1, 0)))</f>
        <v>30.652999999999999</v>
      </c>
      <c r="AO67" s="80" t="str">
        <f t="shared" ref="AO67:AO69" si="11">Y67</f>
        <v>帝牙海獅</v>
      </c>
      <c r="AP67" s="56">
        <f>AB67/(INDEX(屬性克制表!$B$2:$T$20, MATCH($E$1, 屬性克制表!$A$2:$A$20, 0), MATCH(Z67, 屬性克制表!$B$1:$T$1, 0)) * INDEX(屬性克制表!$B$2:$T$20, MATCH($E$1, 屬性克制表!$A$2:$A$20, 0), MATCH(AA67, 屬性克制表!$B$1:$T$1, 0)))</f>
        <v>49.044799999999995</v>
      </c>
      <c r="AQ67" s="80" t="str">
        <f t="shared" ref="AQ67:AQ69" si="12">Y67</f>
        <v>帝牙海獅</v>
      </c>
      <c r="AR67" s="56">
        <f>AB67/(INDEX(屬性克制表!$B$2:$T$20, MATCH($G$1, 屬性克制表!$A$2:$A$20, 0), MATCH(Z67, 屬性克制表!$B$1:$T$1, 0)) * INDEX(屬性克制表!$B$2:$T$20, MATCH($G$1, 屬性克制表!$A$2:$A$20, 0), MATCH(AA67, 屬性克制表!$B$1:$T$1, 0)))</f>
        <v>30.652999999999999</v>
      </c>
    </row>
    <row r="68" spans="1:44">
      <c r="A68" s="74" t="str">
        <v>超級巨伊布</v>
      </c>
      <c r="B68" s="3">
        <v>12.954000000000001</v>
      </c>
      <c r="C68" s="74" t="str">
        <v>耿鬼</v>
      </c>
      <c r="D68" s="68">
        <v>11.389999999999999</v>
      </c>
      <c r="E68" s="74" t="str">
        <v>超級巨伊布</v>
      </c>
      <c r="F68" s="68">
        <v>12.954000000000001</v>
      </c>
      <c r="G68" s="74" t="str">
        <v>超級巨伊布</v>
      </c>
      <c r="H68" s="68">
        <v>12.954000000000001</v>
      </c>
      <c r="J68" s="48" t="str">
        <v>列陣兵</v>
      </c>
      <c r="K68" s="48" t="str">
        <v>格鬥</v>
      </c>
      <c r="L68" s="48" t="str">
        <v>Y</v>
      </c>
      <c r="M68" s="48">
        <v>160</v>
      </c>
      <c r="N68" s="48" t="str">
        <v>D</v>
      </c>
      <c r="O68" s="71">
        <v>67200</v>
      </c>
      <c r="P68" s="83">
        <f t="shared" si="0"/>
        <v>0.30788177339901474</v>
      </c>
      <c r="Q68" s="63"/>
      <c r="R68" s="63"/>
      <c r="S68" s="63"/>
      <c r="T68" s="63"/>
      <c r="U68" s="63"/>
      <c r="V68" s="63"/>
      <c r="W68" s="63"/>
      <c r="X68" s="63"/>
      <c r="Y68" s="79" t="str">
        <f>數據!B67</f>
        <v>龐岩怪</v>
      </c>
      <c r="Z68" s="79" t="str">
        <f>數據!C67</f>
        <v>岩石</v>
      </c>
      <c r="AA68" s="79" t="s">
        <v>119</v>
      </c>
      <c r="AB68" s="51">
        <f>數據!P67</f>
        <v>28.728000000000002</v>
      </c>
      <c r="AD68" s="3" t="s">
        <v>24</v>
      </c>
      <c r="AE68" s="4" t="s">
        <v>97</v>
      </c>
      <c r="AF68" s="4" t="s">
        <v>131</v>
      </c>
      <c r="AG68" s="3">
        <f>_xlfn.XLOOKUP(AD68, 數據!B$2:B$50, 數據!M$2:M$50)</f>
        <v>147</v>
      </c>
      <c r="AH68" s="3" t="s">
        <v>6</v>
      </c>
      <c r="AI68" s="63">
        <f>AG68*IF(AH68="G", 450, IF(AH68="D", 350, 0)) * IF(AF68="Y", 1.2, 1)*(INDEX(屬性克制表!$B$2:$T$20, MATCH(AE68, 屬性克制表!$A$2:$A$20, 0), MATCH($L$1, 屬性克制表!$B$1:$T$1, 0)) * INDEX(屬性克制表!$B$2:$T$20, MATCH(AE68, 屬性克制表!$A$2:$A$20, 0), MATCH($M$1, 屬性克制表!$B$1:$T$1, 0)))</f>
        <v>82320</v>
      </c>
      <c r="AK68" s="80" t="str">
        <f t="shared" si="9"/>
        <v>龐岩怪</v>
      </c>
      <c r="AL68" s="66">
        <f>AB68/(INDEX(屬性克制表!$B$2:$T$20, MATCH($A$1, 屬性克制表!$A$2:$A$20, 0), MATCH(Z68, 屬性克制表!$B$1:$T$1, 0)) * INDEX(屬性克制表!$B$2:$T$20, MATCH($A$1, 屬性克制表!$A$2:$A$20, 0), MATCH(AA68, 屬性克制表!$B$1:$T$1, 0)))</f>
        <v>45.964800000000004</v>
      </c>
      <c r="AM68" s="80" t="str">
        <f t="shared" si="10"/>
        <v>龐岩怪</v>
      </c>
      <c r="AN68" s="56">
        <f>AB68/(INDEX(屬性克制表!$B$2:$T$20, MATCH($C$1, 屬性克制表!$A$2:$A$20, 0), MATCH(Z68, 屬性克制表!$B$1:$T$1, 0)) * INDEX(屬性克制表!$B$2:$T$20, MATCH($C$1, 屬性克制表!$A$2:$A$20, 0), MATCH(AA68, 屬性克制表!$B$1:$T$1, 0)))</f>
        <v>28.728000000000002</v>
      </c>
      <c r="AO68" s="80" t="str">
        <f t="shared" si="11"/>
        <v>龐岩怪</v>
      </c>
      <c r="AP68" s="56">
        <f>AB68/(INDEX(屬性克制表!$B$2:$T$20, MATCH($E$1, 屬性克制表!$A$2:$A$20, 0), MATCH(Z68, 屬性克制表!$B$1:$T$1, 0)) * INDEX(屬性克制表!$B$2:$T$20, MATCH($E$1, 屬性克制表!$A$2:$A$20, 0), MATCH(AA68, 屬性克制表!$B$1:$T$1, 0)))</f>
        <v>17.954999999999998</v>
      </c>
      <c r="AQ68" s="80" t="str">
        <f t="shared" si="12"/>
        <v>龐岩怪</v>
      </c>
      <c r="AR68" s="56">
        <f>AB68/(INDEX(屬性克制表!$B$2:$T$20, MATCH($G$1, 屬性克制表!$A$2:$A$20, 0), MATCH(Z68, 屬性克制表!$B$1:$T$1, 0)) * INDEX(屬性克制表!$B$2:$T$20, MATCH($G$1, 屬性克制表!$A$2:$A$20, 0), MATCH(AA68, 屬性克制表!$B$1:$T$1, 0)))</f>
        <v>28.728000000000002</v>
      </c>
    </row>
    <row r="69" spans="1:44">
      <c r="A69" s="74" t="str">
        <v>巴大蝶</v>
      </c>
      <c r="B69" s="3">
        <v>9.8918749999999989</v>
      </c>
      <c r="C69" s="74" t="str">
        <v>心蝙蝠</v>
      </c>
      <c r="D69" s="68">
        <v>9.473749999999999</v>
      </c>
      <c r="E69" s="74" t="str">
        <v>狒狒達摩</v>
      </c>
      <c r="F69" s="3">
        <v>12.0625</v>
      </c>
      <c r="G69" s="74" t="str">
        <v>勾魂眼</v>
      </c>
      <c r="H69" s="68">
        <v>8.5549999999999997</v>
      </c>
      <c r="J69" s="48" t="str">
        <v>巨鉗蟹</v>
      </c>
      <c r="K69" s="48" t="str">
        <v>水</v>
      </c>
      <c r="L69" s="48" t="str">
        <v>Y</v>
      </c>
      <c r="M69" s="48">
        <v>198</v>
      </c>
      <c r="N69" s="48" t="str">
        <v>G</v>
      </c>
      <c r="O69" s="71">
        <v>66825</v>
      </c>
      <c r="P69" s="83">
        <f t="shared" ref="P69:P114" si="13">O69/$O$3</f>
        <v>0.30616368314567199</v>
      </c>
      <c r="Q69" s="63"/>
      <c r="R69" s="63"/>
      <c r="S69" s="63"/>
      <c r="T69" s="63"/>
      <c r="U69" s="63"/>
      <c r="V69" s="63"/>
      <c r="W69" s="63"/>
      <c r="X69" s="63"/>
      <c r="Y69" s="79" t="str">
        <f>數據!B68</f>
        <v>老翁龍</v>
      </c>
      <c r="Z69" s="79" t="str">
        <f>數據!C68</f>
        <v>龍</v>
      </c>
      <c r="AA69" s="79" t="str">
        <f>數據!D68</f>
        <v>一般</v>
      </c>
      <c r="AB69" s="51">
        <f>數據!P68</f>
        <v>22.277999999999999</v>
      </c>
      <c r="AD69" s="3" t="s">
        <v>25</v>
      </c>
      <c r="AE69" s="4" t="s">
        <v>37</v>
      </c>
      <c r="AF69" s="4" t="s">
        <v>131</v>
      </c>
      <c r="AG69" s="3">
        <f>_xlfn.XLOOKUP(AD69, 數據!B$2:B$50, 數據!M$2:M$50)</f>
        <v>145</v>
      </c>
      <c r="AH69" s="3" t="s">
        <v>6</v>
      </c>
      <c r="AI69" s="63">
        <f>AG69*IF(AH69="G", 450, IF(AH69="D", 350, 0)) * IF(AF69="Y", 1.2, 1)*(INDEX(屬性克制表!$B$2:$T$20, MATCH(AE69, 屬性克制表!$A$2:$A$20, 0), MATCH($L$1, 屬性克制表!$B$1:$T$1, 0)) * INDEX(屬性克制表!$B$2:$T$20, MATCH(AE69, 屬性克制表!$A$2:$A$20, 0), MATCH($M$1, 屬性克制表!$B$1:$T$1, 0)))</f>
        <v>31718.75</v>
      </c>
      <c r="AK69" s="80" t="str">
        <f t="shared" si="9"/>
        <v>老翁龍</v>
      </c>
      <c r="AL69" s="66">
        <f>AB69/(INDEX(屬性克制表!$B$2:$T$20, MATCH($A$1, 屬性克制表!$A$2:$A$20, 0), MATCH(Z69, 屬性克制表!$B$1:$T$1, 0)) * INDEX(屬性克制表!$B$2:$T$20, MATCH($A$1, 屬性克制表!$A$2:$A$20, 0), MATCH(AA69, 屬性克制表!$B$1:$T$1, 0)))</f>
        <v>35.644799999999996</v>
      </c>
      <c r="AM69" s="80" t="str">
        <f t="shared" si="10"/>
        <v>老翁龍</v>
      </c>
      <c r="AN69" s="56">
        <f>AB69/(INDEX(屬性克制表!$B$2:$T$20, MATCH($C$1, 屬性克制表!$A$2:$A$20, 0), MATCH(Z69, 屬性克制表!$B$1:$T$1, 0)) * INDEX(屬性克制表!$B$2:$T$20, MATCH($C$1, 屬性克制表!$A$2:$A$20, 0), MATCH(AA69, 屬性克制表!$B$1:$T$1, 0)))</f>
        <v>56.976982097186692</v>
      </c>
      <c r="AO69" s="80" t="str">
        <f t="shared" si="11"/>
        <v>老翁龍</v>
      </c>
      <c r="AP69" s="56">
        <f>AB69/(INDEX(屬性克制表!$B$2:$T$20, MATCH($E$1, 屬性克制表!$A$2:$A$20, 0), MATCH(Z69, 屬性克制表!$B$1:$T$1, 0)) * INDEX(屬性克制表!$B$2:$T$20, MATCH($E$1, 屬性克制表!$A$2:$A$20, 0), MATCH(AA69, 屬性克制表!$B$1:$T$1, 0)))</f>
        <v>35.644799999999996</v>
      </c>
      <c r="AQ69" s="80" t="str">
        <f t="shared" si="12"/>
        <v>老翁龍</v>
      </c>
      <c r="AR69" s="56">
        <f>AB69/(INDEX(屬性克制表!$B$2:$T$20, MATCH($G$1, 屬性克制表!$A$2:$A$20, 0), MATCH(Z69, 屬性克制表!$B$1:$T$1, 0)) * INDEX(屬性克制表!$B$2:$T$20, MATCH($G$1, 屬性克制表!$A$2:$A$20, 0), MATCH(AA69, 屬性克制表!$B$1:$T$1, 0)))</f>
        <v>13.923749999999998</v>
      </c>
    </row>
    <row r="70" spans="1:44">
      <c r="A70" s="74">
        <v>0</v>
      </c>
      <c r="B70" s="3">
        <v>0</v>
      </c>
      <c r="C70" s="74">
        <v>0</v>
      </c>
      <c r="D70" s="3">
        <v>0</v>
      </c>
      <c r="E70" s="74">
        <v>0</v>
      </c>
      <c r="F70" s="3">
        <v>0</v>
      </c>
      <c r="G70" s="74">
        <v>0</v>
      </c>
      <c r="H70" s="68">
        <v>0</v>
      </c>
      <c r="J70" s="48" t="str">
        <v>拉帝亞斯</v>
      </c>
      <c r="K70" s="48" t="str">
        <v>龍</v>
      </c>
      <c r="L70" s="48" t="str">
        <v>Y</v>
      </c>
      <c r="M70" s="48">
        <v>158</v>
      </c>
      <c r="N70" s="48" t="str">
        <v>D</v>
      </c>
      <c r="O70" s="71">
        <v>66360</v>
      </c>
      <c r="P70" s="83">
        <f t="shared" si="13"/>
        <v>0.30403325123152702</v>
      </c>
      <c r="Q70" s="63"/>
      <c r="R70" s="63"/>
      <c r="S70" s="63"/>
      <c r="T70" s="63"/>
      <c r="U70" s="63"/>
      <c r="V70" s="63"/>
      <c r="W70" s="63"/>
      <c r="X70" s="63"/>
      <c r="AD70" s="3" t="s">
        <v>50</v>
      </c>
      <c r="AE70" s="4" t="s">
        <v>72</v>
      </c>
      <c r="AF70" s="4" t="s">
        <v>130</v>
      </c>
      <c r="AG70" s="3">
        <f>_xlfn.XLOOKUP(AD70, 數據!B$2:B$50, 數據!M$2:M$50)</f>
        <v>121</v>
      </c>
      <c r="AH70" s="3" t="s">
        <v>6</v>
      </c>
      <c r="AI70" s="63">
        <f>AG70*IF(AH70="G", 450, IF(AH70="D", 350, 0)) * IF(AF70="Y", 1.2, 1)*(INDEX(屬性克制表!$B$2:$T$20, MATCH(AE70, 屬性克制表!$A$2:$A$20, 0), MATCH($L$1, 屬性克制表!$B$1:$T$1, 0)) * INDEX(屬性克制表!$B$2:$T$20, MATCH(AE70, 屬性克制表!$A$2:$A$20, 0), MATCH($M$1, 屬性克制表!$B$1:$T$1, 0)))</f>
        <v>50820</v>
      </c>
      <c r="AK70" s="80"/>
      <c r="AL70" s="66"/>
      <c r="AM70" s="80"/>
      <c r="AN70" s="56"/>
      <c r="AO70" s="80"/>
      <c r="AP70" s="56"/>
      <c r="AQ70" s="80"/>
      <c r="AR70" s="56"/>
    </row>
    <row r="71" spans="1:44">
      <c r="J71" s="48" t="str">
        <v>高傲雉雞</v>
      </c>
      <c r="K71" s="48" t="str">
        <v>鋼</v>
      </c>
      <c r="L71" s="48" t="str">
        <v>N</v>
      </c>
      <c r="M71" s="48">
        <v>188</v>
      </c>
      <c r="N71" s="48" t="str">
        <v>D</v>
      </c>
      <c r="O71" s="71">
        <v>65800</v>
      </c>
      <c r="P71" s="83">
        <f t="shared" si="13"/>
        <v>0.30146756978653527</v>
      </c>
      <c r="Q71" s="63"/>
      <c r="R71" s="63"/>
      <c r="S71" s="63"/>
      <c r="T71" s="63"/>
      <c r="U71" s="63"/>
      <c r="V71" s="63"/>
      <c r="W71" s="63"/>
      <c r="X71" s="63"/>
      <c r="AD71" s="3" t="s">
        <v>50</v>
      </c>
      <c r="AE71" s="4" t="s">
        <v>37</v>
      </c>
      <c r="AF71" s="4" t="s">
        <v>130</v>
      </c>
      <c r="AG71" s="3">
        <f>_xlfn.XLOOKUP(AD71, 數據!B$2:B$50, 數據!M$2:M$50)</f>
        <v>121</v>
      </c>
      <c r="AH71" s="3" t="s">
        <v>6</v>
      </c>
      <c r="AI71" s="63">
        <f>AG71*IF(AH71="G", 450, IF(AH71="D", 350, 0)) * IF(AF71="Y", 1.2, 1)*(INDEX(屬性克制表!$B$2:$T$20, MATCH(AE71, 屬性克制表!$A$2:$A$20, 0), MATCH($L$1, 屬性克制表!$B$1:$T$1, 0)) * INDEX(屬性克制表!$B$2:$T$20, MATCH(AE71, 屬性克制表!$A$2:$A$20, 0), MATCH($M$1, 屬性克制表!$B$1:$T$1, 0)))</f>
        <v>31762.5</v>
      </c>
    </row>
    <row r="72" spans="1:44">
      <c r="J72" s="48" t="str">
        <v>噴火龍</v>
      </c>
      <c r="K72" s="48" t="str">
        <v>龍</v>
      </c>
      <c r="L72" s="48" t="str">
        <v>N</v>
      </c>
      <c r="M72" s="48">
        <v>187</v>
      </c>
      <c r="N72" s="48" t="str">
        <v>D</v>
      </c>
      <c r="O72" s="71">
        <v>65450</v>
      </c>
      <c r="P72" s="83">
        <f t="shared" si="13"/>
        <v>0.29986401888341541</v>
      </c>
      <c r="Q72" s="63"/>
      <c r="R72" s="63"/>
      <c r="S72" s="63"/>
      <c r="T72" s="63"/>
      <c r="U72" s="63"/>
      <c r="V72" s="63"/>
      <c r="W72" s="63"/>
      <c r="X72" s="63"/>
      <c r="AD72" s="3" t="s">
        <v>34</v>
      </c>
      <c r="AE72" s="4" t="s">
        <v>97</v>
      </c>
      <c r="AF72" s="4" t="s">
        <v>131</v>
      </c>
      <c r="AG72" s="3">
        <f>_xlfn.XLOOKUP(AD72, 數據!B$2:B$50, 數據!M$2:M$50)</f>
        <v>143</v>
      </c>
      <c r="AH72" s="3" t="s">
        <v>6</v>
      </c>
      <c r="AI72" s="63">
        <f>AG72*IF(AH72="G", 450, IF(AH72="D", 350, 0)) * IF(AF72="Y", 1.2, 1)*(INDEX(屬性克制表!$B$2:$T$20, MATCH(AE72, 屬性克制表!$A$2:$A$20, 0), MATCH($L$1, 屬性克制表!$B$1:$T$1, 0)) * INDEX(屬性克制表!$B$2:$T$20, MATCH(AE72, 屬性克制表!$A$2:$A$20, 0), MATCH($M$1, 屬性克制表!$B$1:$T$1, 0)))</f>
        <v>80080</v>
      </c>
    </row>
    <row r="73" spans="1:44">
      <c r="J73" s="48" t="str">
        <v>甜冷美后</v>
      </c>
      <c r="K73" s="48" t="str">
        <v>妖精</v>
      </c>
      <c r="L73" s="48" t="str">
        <v>N</v>
      </c>
      <c r="M73" s="48">
        <v>187</v>
      </c>
      <c r="N73" s="48" t="str">
        <v>D</v>
      </c>
      <c r="O73" s="71">
        <v>65450</v>
      </c>
      <c r="P73" s="83">
        <f t="shared" si="13"/>
        <v>0.29986401888341541</v>
      </c>
      <c r="Q73" s="63"/>
      <c r="R73" s="63"/>
      <c r="S73" s="63"/>
      <c r="T73" s="63"/>
      <c r="U73" s="63"/>
      <c r="V73" s="63"/>
      <c r="W73" s="63"/>
      <c r="X73" s="63"/>
      <c r="AD73" s="7" t="s">
        <v>20</v>
      </c>
      <c r="AE73" s="3" t="s">
        <v>36</v>
      </c>
      <c r="AF73" s="3" t="s">
        <v>130</v>
      </c>
      <c r="AG73" s="3">
        <f>_xlfn.XLOOKUP(AD73, 數據!B$2:B$50, 數據!M$2:M$50)</f>
        <v>185</v>
      </c>
      <c r="AH73" s="7" t="s">
        <v>6</v>
      </c>
      <c r="AI73" s="63">
        <f>AG73*IF(AH73="G", 450, IF(AH73="D", 350, 0)) * IF(AF73="Y", 1.2, 1)*(INDEX(屬性克制表!$B$2:$T$20, MATCH(AE73, 屬性克制表!$A$2:$A$20, 0), MATCH($L$1, 屬性克制表!$B$1:$T$1, 0)) * INDEX(屬性克制表!$B$2:$T$20, MATCH(AE73, 屬性克制表!$A$2:$A$20, 0), MATCH($M$1, 屬性克制表!$B$1:$T$1, 0)))</f>
        <v>48562.5</v>
      </c>
    </row>
    <row r="74" spans="1:44">
      <c r="J74" s="48" t="str">
        <v>鐮刀盔</v>
      </c>
      <c r="K74" s="48" t="str">
        <v>格鬥</v>
      </c>
      <c r="L74" s="48" t="str">
        <v>N</v>
      </c>
      <c r="M74" s="48">
        <v>185</v>
      </c>
      <c r="N74" s="48" t="str">
        <v>D</v>
      </c>
      <c r="O74" s="71">
        <v>64750</v>
      </c>
      <c r="P74" s="83">
        <f t="shared" si="13"/>
        <v>0.29665691707717567</v>
      </c>
      <c r="Q74" s="63"/>
      <c r="R74" s="63"/>
      <c r="S74" s="63"/>
      <c r="T74" s="63"/>
      <c r="U74" s="63"/>
      <c r="V74" s="63"/>
      <c r="W74" s="63"/>
      <c r="X74" s="63"/>
      <c r="AD74" s="7" t="s">
        <v>25</v>
      </c>
      <c r="AE74" s="3" t="s">
        <v>36</v>
      </c>
      <c r="AF74" s="3" t="s">
        <v>130</v>
      </c>
      <c r="AG74" s="3">
        <f>_xlfn.XLOOKUP(AD74, 數據!B$2:B$50, 數據!M$2:M$50)</f>
        <v>145</v>
      </c>
      <c r="AH74" s="7" t="s">
        <v>5</v>
      </c>
      <c r="AI74" s="63">
        <f>AG74*IF(AH74="G", 450, IF(AH74="D", 350, 0)) * IF(AF74="Y", 1.2, 1)*(INDEX(屬性克制表!$B$2:$T$20, MATCH(AE74, 屬性克制表!$A$2:$A$20, 0), MATCH($L$1, 屬性克制表!$B$1:$T$1, 0)) * INDEX(屬性克制表!$B$2:$T$20, MATCH(AE74, 屬性克制表!$A$2:$A$20, 0), MATCH($M$1, 屬性克制表!$B$1:$T$1, 0)))</f>
        <v>48937.5</v>
      </c>
    </row>
    <row r="75" spans="1:44">
      <c r="J75" s="48" t="str">
        <v>鐮刀盔</v>
      </c>
      <c r="K75" s="48" t="str">
        <v>蟲</v>
      </c>
      <c r="L75" s="48" t="str">
        <v>N</v>
      </c>
      <c r="M75" s="48">
        <v>185</v>
      </c>
      <c r="N75" s="48" t="str">
        <v>D</v>
      </c>
      <c r="O75" s="71">
        <v>64750</v>
      </c>
      <c r="P75" s="83">
        <f t="shared" si="13"/>
        <v>0.29665691707717567</v>
      </c>
      <c r="Q75" s="63"/>
      <c r="R75" s="63"/>
      <c r="S75" s="63"/>
      <c r="T75" s="63"/>
      <c r="U75" s="63"/>
      <c r="V75" s="63"/>
      <c r="W75" s="63"/>
      <c r="X75" s="63"/>
      <c r="AD75" s="4" t="s">
        <v>61</v>
      </c>
      <c r="AE75" s="4" t="s">
        <v>73</v>
      </c>
      <c r="AF75" s="4" t="s">
        <v>131</v>
      </c>
      <c r="AG75" s="3">
        <f>_xlfn.XLOOKUP(AD75, 數據!B$2:B$50, 數據!M$2:M$50)</f>
        <v>140</v>
      </c>
      <c r="AH75" s="4" t="s">
        <v>6</v>
      </c>
      <c r="AI75" s="63">
        <f>AG75*IF(AH75="G", 450, IF(AH75="D", 350, 0)) * IF(AF75="Y", 1.2, 1)*(INDEX(屬性克制表!$B$2:$T$20, MATCH(AE75, 屬性克制表!$A$2:$A$20, 0), MATCH($L$1, 屬性克制表!$B$1:$T$1, 0)) * INDEX(屬性克制表!$B$2:$T$20, MATCH(AE75, 屬性克制表!$A$2:$A$20, 0), MATCH($M$1, 屬性克制表!$B$1:$T$1, 0)))</f>
        <v>30625</v>
      </c>
    </row>
    <row r="76" spans="1:44">
      <c r="J76" s="48" t="str">
        <v>戰弦蠑螈</v>
      </c>
      <c r="K76" s="48" t="str">
        <v>電</v>
      </c>
      <c r="L76" s="48" t="str">
        <v>Y</v>
      </c>
      <c r="M76" s="48">
        <v>188</v>
      </c>
      <c r="N76" s="48" t="str">
        <v>G</v>
      </c>
      <c r="O76" s="71">
        <v>63450</v>
      </c>
      <c r="P76" s="83">
        <f t="shared" si="13"/>
        <v>0.29070087086558755</v>
      </c>
      <c r="Q76" s="63"/>
      <c r="R76" s="63"/>
      <c r="S76" s="63"/>
      <c r="T76" s="63"/>
      <c r="U76" s="63"/>
      <c r="V76" s="63"/>
      <c r="W76" s="63"/>
      <c r="X76" s="63"/>
      <c r="AD76" s="4" t="s">
        <v>67</v>
      </c>
      <c r="AE76" s="4" t="s">
        <v>73</v>
      </c>
      <c r="AF76" s="4" t="s">
        <v>131</v>
      </c>
      <c r="AG76" s="3">
        <f>_xlfn.XLOOKUP(AD76, 數據!B$2:B$50, 數據!M$2:M$50)</f>
        <v>138</v>
      </c>
      <c r="AH76" s="4" t="s">
        <v>6</v>
      </c>
      <c r="AI76" s="63">
        <f>AG76*IF(AH76="G", 450, IF(AH76="D", 350, 0)) * IF(AF76="Y", 1.2, 1)*(INDEX(屬性克制表!$B$2:$T$20, MATCH(AE76, 屬性克制表!$A$2:$A$20, 0), MATCH($L$1, 屬性克制表!$B$1:$T$1, 0)) * INDEX(屬性克制表!$B$2:$T$20, MATCH(AE76, 屬性克制表!$A$2:$A$20, 0), MATCH($M$1, 屬性克制表!$B$1:$T$1, 0)))</f>
        <v>30187.5</v>
      </c>
    </row>
    <row r="77" spans="1:44">
      <c r="J77" s="48" t="str">
        <v>幸福蛋</v>
      </c>
      <c r="K77" s="48" t="str">
        <v>超能力</v>
      </c>
      <c r="L77" s="48" t="str">
        <v>N</v>
      </c>
      <c r="M77" s="48">
        <v>113</v>
      </c>
      <c r="N77" s="48" t="str">
        <v>D</v>
      </c>
      <c r="O77" s="71">
        <v>63280</v>
      </c>
      <c r="P77" s="83">
        <f t="shared" si="13"/>
        <v>0.28992200328407219</v>
      </c>
      <c r="Q77" s="63"/>
      <c r="R77" s="63"/>
      <c r="S77" s="63"/>
      <c r="T77" s="63"/>
      <c r="U77" s="63"/>
      <c r="V77" s="63"/>
      <c r="W77" s="63"/>
      <c r="X77" s="63"/>
      <c r="AD77" s="3" t="s">
        <v>67</v>
      </c>
      <c r="AE77" s="4" t="s">
        <v>37</v>
      </c>
      <c r="AF77" s="4" t="s">
        <v>131</v>
      </c>
      <c r="AG77" s="3">
        <f>_xlfn.XLOOKUP(AD77, 數據!B$2:B$50, 數據!M$2:M$50)</f>
        <v>138</v>
      </c>
      <c r="AH77" s="3" t="s">
        <v>6</v>
      </c>
      <c r="AI77" s="63">
        <f>AG77*IF(AH77="G", 450, IF(AH77="D", 350, 0)) * IF(AF77="Y", 1.2, 1)*(INDEX(屬性克制表!$B$2:$T$20, MATCH(AE77, 屬性克制表!$A$2:$A$20, 0), MATCH($L$1, 屬性克制表!$B$1:$T$1, 0)) * INDEX(屬性克制表!$B$2:$T$20, MATCH(AE77, 屬性克制表!$A$2:$A$20, 0), MATCH($M$1, 屬性克制表!$B$1:$T$1, 0)))</f>
        <v>30187.5</v>
      </c>
    </row>
    <row r="78" spans="1:44">
      <c r="J78" s="48" t="str">
        <v>巴大蝶</v>
      </c>
      <c r="K78" s="48" t="str">
        <v>蟲</v>
      </c>
      <c r="L78" s="48" t="str">
        <v>Y</v>
      </c>
      <c r="M78" s="48">
        <v>143</v>
      </c>
      <c r="N78" s="48" t="str">
        <v>D</v>
      </c>
      <c r="O78" s="71">
        <v>60060</v>
      </c>
      <c r="P78" s="83">
        <f t="shared" si="13"/>
        <v>0.27516933497536944</v>
      </c>
      <c r="Q78" s="63"/>
      <c r="R78" s="63"/>
      <c r="S78" s="63"/>
      <c r="T78" s="63"/>
      <c r="U78" s="63"/>
      <c r="V78" s="63"/>
      <c r="W78" s="63"/>
      <c r="X78" s="63"/>
      <c r="AD78" s="7" t="s">
        <v>26</v>
      </c>
      <c r="AE78" s="3" t="s">
        <v>36</v>
      </c>
      <c r="AF78" s="3" t="s">
        <v>130</v>
      </c>
      <c r="AG78" s="3">
        <f>_xlfn.XLOOKUP(AD78, 數據!B$2:B$50, 數據!M$2:M$50)</f>
        <v>177</v>
      </c>
      <c r="AH78" s="7" t="s">
        <v>6</v>
      </c>
      <c r="AI78" s="63">
        <f>AG78*IF(AH78="G", 450, IF(AH78="D", 350, 0)) * IF(AF78="Y", 1.2, 1)*(INDEX(屬性克制表!$B$2:$T$20, MATCH(AE78, 屬性克制表!$A$2:$A$20, 0), MATCH($L$1, 屬性克制表!$B$1:$T$1, 0)) * INDEX(屬性克制表!$B$2:$T$20, MATCH(AE78, 屬性克制表!$A$2:$A$20, 0), MATCH($M$1, 屬性克制表!$B$1:$T$1, 0)))</f>
        <v>46462.5</v>
      </c>
    </row>
    <row r="79" spans="1:44">
      <c r="J79" s="48" t="str">
        <v>鋼鎧鴉</v>
      </c>
      <c r="K79" s="48" t="str">
        <v>鋼</v>
      </c>
      <c r="L79" s="48" t="str">
        <v>Y</v>
      </c>
      <c r="M79" s="48">
        <v>140</v>
      </c>
      <c r="N79" s="48" t="str">
        <v>D</v>
      </c>
      <c r="O79" s="71">
        <v>58800</v>
      </c>
      <c r="P79" s="83">
        <f t="shared" si="13"/>
        <v>0.2693965517241379</v>
      </c>
      <c r="Q79" s="63"/>
      <c r="R79" s="63"/>
      <c r="S79" s="63"/>
      <c r="T79" s="63"/>
      <c r="U79" s="63"/>
      <c r="V79" s="63"/>
      <c r="W79" s="63"/>
      <c r="X79" s="63"/>
      <c r="AD79" s="7" t="s">
        <v>23</v>
      </c>
      <c r="AE79" s="3" t="s">
        <v>36</v>
      </c>
      <c r="AF79" s="3" t="s">
        <v>130</v>
      </c>
      <c r="AG79" s="3">
        <f>_xlfn.XLOOKUP(AD79, 數據!B$2:B$50, 數據!M$2:M$50)</f>
        <v>147</v>
      </c>
      <c r="AH79" s="7" t="s">
        <v>6</v>
      </c>
      <c r="AI79" s="63">
        <f>AG79*IF(AH79="G", 450, IF(AH79="D", 350, 0)) * IF(AF79="Y", 1.2, 1)*(INDEX(屬性克制表!$B$2:$T$20, MATCH(AE79, 屬性克制表!$A$2:$A$20, 0), MATCH($L$1, 屬性克制表!$B$1:$T$1, 0)) * INDEX(屬性克制表!$B$2:$T$20, MATCH(AE79, 屬性克制表!$A$2:$A$20, 0), MATCH($M$1, 屬性克制表!$B$1:$T$1, 0)))</f>
        <v>38587.5</v>
      </c>
    </row>
    <row r="80" spans="1:44">
      <c r="J80" s="48" t="str">
        <v>洛奇亞</v>
      </c>
      <c r="K80" s="48" t="str">
        <v>龍</v>
      </c>
      <c r="L80" s="48" t="str">
        <v>N</v>
      </c>
      <c r="M80" s="48">
        <v>164</v>
      </c>
      <c r="N80" s="48" t="str">
        <v>D</v>
      </c>
      <c r="O80" s="71">
        <v>57400</v>
      </c>
      <c r="P80" s="83">
        <f t="shared" si="13"/>
        <v>0.26298234811165844</v>
      </c>
      <c r="Q80" s="63"/>
      <c r="R80" s="63"/>
      <c r="S80" s="63"/>
      <c r="T80" s="63"/>
      <c r="U80" s="63"/>
      <c r="V80" s="63"/>
      <c r="W80" s="63"/>
      <c r="X80" s="63"/>
      <c r="AD80" s="7" t="s">
        <v>24</v>
      </c>
      <c r="AE80" s="3" t="s">
        <v>36</v>
      </c>
      <c r="AF80" s="3" t="s">
        <v>130</v>
      </c>
      <c r="AG80" s="3">
        <f>_xlfn.XLOOKUP(AD80, 數據!B$2:B$50, 數據!M$2:M$50)</f>
        <v>147</v>
      </c>
      <c r="AH80" s="7" t="s">
        <v>6</v>
      </c>
      <c r="AI80" s="63">
        <f>AG80*IF(AH80="G", 450, IF(AH80="D", 350, 0)) * IF(AF80="Y", 1.2, 1)*(INDEX(屬性克制表!$B$2:$T$20, MATCH(AE80, 屬性克制表!$A$2:$A$20, 0), MATCH($L$1, 屬性克制表!$B$1:$T$1, 0)) * INDEX(屬性克制表!$B$2:$T$20, MATCH(AE80, 屬性克制表!$A$2:$A$20, 0), MATCH($M$1, 屬性克制表!$B$1:$T$1, 0)))</f>
        <v>38587.5</v>
      </c>
    </row>
    <row r="81" spans="10:35">
      <c r="J81" s="48" t="str">
        <v>快拳郎</v>
      </c>
      <c r="K81" s="48" t="str">
        <v>鋼</v>
      </c>
      <c r="L81" s="48" t="str">
        <v>N</v>
      </c>
      <c r="M81" s="48">
        <v>164</v>
      </c>
      <c r="N81" s="48" t="str">
        <v>D</v>
      </c>
      <c r="O81" s="71">
        <v>57400</v>
      </c>
      <c r="P81" s="83">
        <f t="shared" si="13"/>
        <v>0.26298234811165844</v>
      </c>
      <c r="Q81" s="63"/>
      <c r="R81" s="63"/>
      <c r="S81" s="63"/>
      <c r="T81" s="63"/>
      <c r="U81" s="63"/>
      <c r="V81" s="63"/>
      <c r="W81" s="63"/>
      <c r="X81" s="63"/>
      <c r="AD81" s="3" t="s">
        <v>63</v>
      </c>
      <c r="AE81" s="4" t="s">
        <v>97</v>
      </c>
      <c r="AF81" s="4" t="s">
        <v>131</v>
      </c>
      <c r="AG81" s="3">
        <f>_xlfn.XLOOKUP(AD81, 數據!B$2:B$50, 數據!M$2:M$50)</f>
        <v>113</v>
      </c>
      <c r="AH81" s="3" t="s">
        <v>6</v>
      </c>
      <c r="AI81" s="63">
        <f>AG81*IF(AH81="G", 450, IF(AH81="D", 350, 0)) * IF(AF81="Y", 1.2, 1)*(INDEX(屬性克制表!$B$2:$T$20, MATCH(AE81, 屬性克制表!$A$2:$A$20, 0), MATCH($L$1, 屬性克制表!$B$1:$T$1, 0)) * INDEX(屬性克制表!$B$2:$T$20, MATCH(AE81, 屬性克制表!$A$2:$A$20, 0), MATCH($M$1, 屬性克制表!$B$1:$T$1, 0)))</f>
        <v>63280</v>
      </c>
    </row>
    <row r="82" spans="10:35">
      <c r="J82" s="48" t="str">
        <v>龍頭地鼠</v>
      </c>
      <c r="K82" s="48" t="str">
        <v>地面</v>
      </c>
      <c r="L82" s="48" t="str">
        <v>Y</v>
      </c>
      <c r="M82" s="48">
        <v>217</v>
      </c>
      <c r="N82" s="48" t="str">
        <v>D</v>
      </c>
      <c r="O82" s="71">
        <v>56962.5</v>
      </c>
      <c r="P82" s="83">
        <f t="shared" si="13"/>
        <v>0.26097790948275856</v>
      </c>
      <c r="Q82" s="63"/>
      <c r="R82" s="63"/>
      <c r="S82" s="63"/>
      <c r="T82" s="63"/>
      <c r="U82" s="63"/>
      <c r="V82" s="63"/>
      <c r="W82" s="63"/>
      <c r="X82" s="63"/>
      <c r="AD82" s="7" t="s">
        <v>25</v>
      </c>
      <c r="AE82" s="3" t="s">
        <v>36</v>
      </c>
      <c r="AF82" s="3" t="s">
        <v>130</v>
      </c>
      <c r="AG82" s="3">
        <f>_xlfn.XLOOKUP(AD82, 數據!B$2:B$50, 數據!M$2:M$50)</f>
        <v>145</v>
      </c>
      <c r="AH82" s="7" t="s">
        <v>6</v>
      </c>
      <c r="AI82" s="63">
        <f>AG82*IF(AH82="G", 450, IF(AH82="D", 350, 0)) * IF(AF82="Y", 1.2, 1)*(INDEX(屬性克制表!$B$2:$T$20, MATCH(AE82, 屬性克制表!$A$2:$A$20, 0), MATCH($L$1, 屬性克制表!$B$1:$T$1, 0)) * INDEX(屬性克制表!$B$2:$T$20, MATCH(AE82, 屬性克制表!$A$2:$A$20, 0), MATCH($M$1, 屬性克制表!$B$1:$T$1, 0)))</f>
        <v>38062.5</v>
      </c>
    </row>
    <row r="83" spans="10:35">
      <c r="J83" s="48" t="str">
        <v>武道熊師(一)</v>
      </c>
      <c r="K83" s="48" t="str">
        <v>惡</v>
      </c>
      <c r="L83" s="48" t="str">
        <v>Y</v>
      </c>
      <c r="M83" s="48">
        <v>210</v>
      </c>
      <c r="N83" s="48" t="str">
        <v>D</v>
      </c>
      <c r="O83" s="71">
        <v>55125</v>
      </c>
      <c r="P83" s="83">
        <f t="shared" si="13"/>
        <v>0.25255926724137928</v>
      </c>
      <c r="Q83" s="63"/>
      <c r="R83" s="63"/>
      <c r="S83" s="63"/>
      <c r="T83" s="63"/>
      <c r="U83" s="63"/>
      <c r="V83" s="63"/>
      <c r="W83" s="63"/>
      <c r="X83" s="63"/>
      <c r="AD83" s="3" t="s">
        <v>55</v>
      </c>
      <c r="AE83" s="4" t="s">
        <v>76</v>
      </c>
      <c r="AF83" s="4" t="s">
        <v>130</v>
      </c>
      <c r="AG83" s="3">
        <f>_xlfn.XLOOKUP(AD83, 數據!B$2:B$50, 數據!M$2:M$50)</f>
        <v>155</v>
      </c>
      <c r="AH83" s="3" t="s">
        <v>6</v>
      </c>
      <c r="AI83" s="63">
        <f>AG83*IF(AH83="G", 450, IF(AH83="D", 350, 0)) * IF(AF83="Y", 1.2, 1)*(INDEX(屬性克制表!$B$2:$T$20, MATCH(AE83, 屬性克制表!$A$2:$A$20, 0), MATCH($L$1, 屬性克制表!$B$1:$T$1, 0)) * INDEX(屬性克制表!$B$2:$T$20, MATCH(AE83, 屬性克制表!$A$2:$A$20, 0), MATCH($M$1, 屬性克制表!$B$1:$T$1, 0)))</f>
        <v>104160</v>
      </c>
    </row>
    <row r="84" spans="10:35">
      <c r="J84" s="48" t="str">
        <v>武道熊師(連)</v>
      </c>
      <c r="K84" s="48" t="str">
        <v>水</v>
      </c>
      <c r="L84" s="48" t="str">
        <v>Y</v>
      </c>
      <c r="M84" s="48">
        <v>210</v>
      </c>
      <c r="N84" s="48" t="str">
        <v>D</v>
      </c>
      <c r="O84" s="71">
        <v>55125</v>
      </c>
      <c r="P84" s="83">
        <f t="shared" si="13"/>
        <v>0.25255926724137928</v>
      </c>
      <c r="Q84" s="63"/>
      <c r="R84" s="63"/>
      <c r="S84" s="63"/>
      <c r="T84" s="63"/>
      <c r="U84" s="63"/>
      <c r="V84" s="63"/>
      <c r="W84" s="63"/>
      <c r="X84" s="63"/>
      <c r="AD84" s="3" t="s">
        <v>60</v>
      </c>
      <c r="AE84" s="4" t="s">
        <v>76</v>
      </c>
      <c r="AF84" s="4" t="s">
        <v>130</v>
      </c>
      <c r="AG84" s="3">
        <f>_xlfn.XLOOKUP(AD84, 數據!B$2:B$50, 數據!M$2:M$50)</f>
        <v>153</v>
      </c>
      <c r="AH84" s="3" t="s">
        <v>6</v>
      </c>
      <c r="AI84" s="63">
        <f>AG84*IF(AH84="G", 450, IF(AH84="D", 350, 0)) * IF(AF84="Y", 1.2, 1)*(INDEX(屬性克制表!$B$2:$T$20, MATCH(AE84, 屬性克制表!$A$2:$A$20, 0), MATCH($L$1, 屬性克制表!$B$1:$T$1, 0)) * INDEX(屬性克制表!$B$2:$T$20, MATCH(AE84, 屬性克制表!$A$2:$A$20, 0), MATCH($M$1, 屬性克制表!$B$1:$T$1, 0)))</f>
        <v>102816</v>
      </c>
    </row>
    <row r="85" spans="10:35">
      <c r="J85" s="48" t="str">
        <v>妙蛙花</v>
      </c>
      <c r="K85" s="48" t="str">
        <v>草</v>
      </c>
      <c r="L85" s="48" t="str">
        <v>Y</v>
      </c>
      <c r="M85" s="48">
        <v>159</v>
      </c>
      <c r="N85" s="48" t="str">
        <v>G</v>
      </c>
      <c r="O85" s="71">
        <v>53662.5</v>
      </c>
      <c r="P85" s="83">
        <f t="shared" si="13"/>
        <v>0.24585871525334269</v>
      </c>
      <c r="Q85" s="63"/>
      <c r="R85" s="63"/>
      <c r="S85" s="63"/>
      <c r="T85" s="63"/>
      <c r="U85" s="63"/>
      <c r="V85" s="63"/>
      <c r="W85" s="63"/>
      <c r="X85" s="63"/>
      <c r="AD85" s="3" t="s">
        <v>49</v>
      </c>
      <c r="AE85" s="4" t="s">
        <v>39</v>
      </c>
      <c r="AF85" s="4" t="s">
        <v>130</v>
      </c>
      <c r="AG85" s="3">
        <f>_xlfn.XLOOKUP(AD85, 數據!B$2:B$50, 數據!M$2:M$50)</f>
        <v>17</v>
      </c>
      <c r="AH85" s="3" t="s">
        <v>6</v>
      </c>
      <c r="AI85" s="63">
        <f>AG85*IF(AH85="G", 450, IF(AH85="D", 350, 0)) * IF(AF85="Y", 1.2, 1)*(INDEX(屬性克制表!$B$2:$T$20, MATCH(AE85, 屬性克制表!$A$2:$A$20, 0), MATCH($L$1, 屬性克制表!$B$1:$T$1, 0)) * INDEX(屬性克制表!$B$2:$T$20, MATCH(AE85, 屬性克制表!$A$2:$A$20, 0), MATCH($M$1, 屬性克制表!$B$1:$T$1, 0)))</f>
        <v>4462.5</v>
      </c>
    </row>
    <row r="86" spans="10:35">
      <c r="J86" s="48" t="str">
        <v>灰塵山</v>
      </c>
      <c r="K86" s="48" t="str">
        <v>蟲</v>
      </c>
      <c r="L86" s="48" t="str">
        <v>N</v>
      </c>
      <c r="M86" s="48">
        <v>153</v>
      </c>
      <c r="N86" s="48" t="str">
        <v>D</v>
      </c>
      <c r="O86" s="71">
        <v>53550</v>
      </c>
      <c r="P86" s="83">
        <f t="shared" si="13"/>
        <v>0.24534328817733986</v>
      </c>
      <c r="Q86" s="63"/>
      <c r="R86" s="63"/>
      <c r="S86" s="63"/>
      <c r="T86" s="63"/>
      <c r="U86" s="63"/>
      <c r="V86" s="63"/>
      <c r="W86" s="63"/>
      <c r="X86" s="63"/>
      <c r="AD86" s="3" t="s">
        <v>49</v>
      </c>
      <c r="AE86" s="4" t="s">
        <v>46</v>
      </c>
      <c r="AF86" s="4" t="s">
        <v>130</v>
      </c>
      <c r="AG86" s="3">
        <f>_xlfn.XLOOKUP(AD86, 數據!B$2:B$50, 數據!M$2:M$50)</f>
        <v>17</v>
      </c>
      <c r="AH86" s="3" t="s">
        <v>6</v>
      </c>
      <c r="AI86" s="63">
        <f>AG86*IF(AH86="G", 450, IF(AH86="D", 350, 0)) * IF(AF86="Y", 1.2, 1)*(INDEX(屬性克制表!$B$2:$T$20, MATCH(AE86, 屬性克制表!$A$2:$A$20, 0), MATCH($L$1, 屬性克制表!$B$1:$T$1, 0)) * INDEX(屬性克制表!$B$2:$T$20, MATCH(AE86, 屬性克制表!$A$2:$A$20, 0), MATCH($M$1, 屬性克制表!$B$1:$T$1, 0)))</f>
        <v>7140</v>
      </c>
    </row>
    <row r="87" spans="10:35">
      <c r="J87" s="48" t="str">
        <v>閃電鳥</v>
      </c>
      <c r="K87" s="48" t="str">
        <v>電</v>
      </c>
      <c r="L87" s="48" t="str">
        <v>Y</v>
      </c>
      <c r="M87" s="48">
        <v>203</v>
      </c>
      <c r="N87" s="48" t="str">
        <v>D</v>
      </c>
      <c r="O87" s="71">
        <v>53287.5</v>
      </c>
      <c r="P87" s="83">
        <f t="shared" si="13"/>
        <v>0.24414062499999997</v>
      </c>
      <c r="Q87" s="63"/>
      <c r="R87" s="63"/>
      <c r="S87" s="63"/>
      <c r="T87" s="63"/>
      <c r="U87" s="63"/>
      <c r="V87"/>
      <c r="Y87" s="3"/>
      <c r="Z87" s="3"/>
      <c r="AA87" s="3"/>
      <c r="AB87" s="3"/>
      <c r="AC87" s="3"/>
      <c r="AD87" s="3" t="s">
        <v>140</v>
      </c>
      <c r="AE87" s="3" t="s">
        <v>47</v>
      </c>
      <c r="AF87" s="4" t="s">
        <v>130</v>
      </c>
      <c r="AG87" s="3">
        <f>_xlfn.XLOOKUP(AD87, 數據!B$2:B$50, 數據!M$2:M$50)</f>
        <v>225</v>
      </c>
      <c r="AH87" s="3" t="s">
        <v>6</v>
      </c>
      <c r="AI87" s="63">
        <f>AG87*IF(AH87="G", 450, IF(AH87="D", 350, 0)) * IF(AF87="Y", 1.2, 1)*(INDEX(屬性克制表!$B$2:$T$20, MATCH(AE87, 屬性克制表!$A$2:$A$20, 0), MATCH($L$1, 屬性克制表!$B$1:$T$1, 0)) * INDEX(屬性克制表!$B$2:$T$20, MATCH(AE87, 屬性克制表!$A$2:$A$20, 0), MATCH($M$1, 屬性克制表!$B$1:$T$1, 0)))</f>
        <v>151200</v>
      </c>
    </row>
    <row r="88" spans="10:35">
      <c r="J88" s="48" t="str">
        <v>轟擂金剛猩</v>
      </c>
      <c r="K88" s="48" t="str">
        <v>草</v>
      </c>
      <c r="L88" s="48" t="str">
        <v>Y</v>
      </c>
      <c r="M88" s="48">
        <v>200</v>
      </c>
      <c r="N88" s="48" t="str">
        <v>D</v>
      </c>
      <c r="O88" s="71">
        <v>52500</v>
      </c>
      <c r="P88" s="83">
        <f t="shared" si="13"/>
        <v>0.24053263546798026</v>
      </c>
      <c r="Q88" s="63"/>
      <c r="R88" s="63"/>
      <c r="S88" s="63"/>
      <c r="T88" s="63"/>
      <c r="U88" s="63"/>
      <c r="V88" s="63"/>
      <c r="W88" s="63"/>
      <c r="X88" s="63"/>
      <c r="AD88" s="3" t="s">
        <v>140</v>
      </c>
      <c r="AE88" s="3" t="s">
        <v>70</v>
      </c>
      <c r="AF88" s="4" t="s">
        <v>131</v>
      </c>
      <c r="AG88" s="3">
        <f>_xlfn.XLOOKUP(AD88, 數據!B$2:B$50, 數據!M$2:M$50)</f>
        <v>225</v>
      </c>
      <c r="AH88" s="3" t="s">
        <v>6</v>
      </c>
      <c r="AI88" s="63">
        <f>AG88*IF(AH88="G", 450, IF(AH88="D", 350, 0)) * IF(AF88="Y", 1.2, 1)*(INDEX(屬性克制表!$B$2:$T$20, MATCH(AE88, 屬性克制表!$A$2:$A$20, 0), MATCH($L$1, 屬性克制表!$B$1:$T$1, 0)) * INDEX(屬性克制表!$B$2:$T$20, MATCH(AE88, 屬性克制表!$A$2:$A$20, 0), MATCH($M$1, 屬性克制表!$B$1:$T$1, 0)))</f>
        <v>78750</v>
      </c>
    </row>
    <row r="89" spans="10:35">
      <c r="J89" s="48" t="str">
        <v>雷伊布</v>
      </c>
      <c r="K89" s="48" t="str">
        <v>電</v>
      </c>
      <c r="L89" s="48" t="str">
        <v>Y</v>
      </c>
      <c r="M89" s="48">
        <v>195</v>
      </c>
      <c r="N89" s="48" t="str">
        <v>D</v>
      </c>
      <c r="O89" s="71">
        <v>51187.5</v>
      </c>
      <c r="P89" s="83">
        <f t="shared" si="13"/>
        <v>0.23451931958128075</v>
      </c>
      <c r="Q89" s="63"/>
      <c r="R89" s="63"/>
      <c r="S89" s="63"/>
      <c r="T89" s="63"/>
      <c r="U89" s="63"/>
      <c r="V89" s="63"/>
      <c r="W89" s="63"/>
      <c r="X89" s="63"/>
      <c r="AD89" s="3" t="s">
        <v>86</v>
      </c>
      <c r="AE89" s="3" t="s">
        <v>76</v>
      </c>
      <c r="AF89" s="4" t="s">
        <v>130</v>
      </c>
      <c r="AG89" s="3">
        <f>_xlfn.XLOOKUP(AD89, 數據!B$2:B$50, 數據!M$2:M$50)</f>
        <v>141</v>
      </c>
      <c r="AH89" s="3" t="s">
        <v>5</v>
      </c>
      <c r="AI89" s="63">
        <f>AG89*IF(AH89="G", 450, IF(AH89="D", 350, 0)) * IF(AF89="Y", 1.2, 1)*(INDEX(屬性克制表!$B$2:$T$20, MATCH(AE89, 屬性克制表!$A$2:$A$20, 0), MATCH($L$1, 屬性克制表!$B$1:$T$1, 0)) * INDEX(屬性克制表!$B$2:$T$20, MATCH(AE89, 屬性克制表!$A$2:$A$20, 0), MATCH($M$1, 屬性克制表!$B$1:$T$1, 0)))</f>
        <v>121824</v>
      </c>
    </row>
    <row r="90" spans="10:35">
      <c r="J90" s="48" t="str">
        <v>雷公</v>
      </c>
      <c r="K90" s="48" t="str">
        <v>電</v>
      </c>
      <c r="L90" s="48" t="str">
        <v>Y</v>
      </c>
      <c r="M90" s="48">
        <v>194</v>
      </c>
      <c r="N90" s="48" t="str">
        <v>D</v>
      </c>
      <c r="O90" s="71">
        <v>50925</v>
      </c>
      <c r="P90" s="83">
        <f t="shared" si="13"/>
        <v>0.23331665640394084</v>
      </c>
      <c r="Q90" s="63"/>
      <c r="R90" s="63"/>
      <c r="S90" s="63"/>
      <c r="T90" s="63"/>
      <c r="U90" s="63"/>
      <c r="V90" s="63"/>
      <c r="W90" s="63"/>
      <c r="X90" s="63"/>
      <c r="AD90" s="3" t="s">
        <v>154</v>
      </c>
      <c r="AE90" s="3" t="s">
        <v>155</v>
      </c>
      <c r="AF90" s="4" t="s">
        <v>130</v>
      </c>
      <c r="AG90" s="3">
        <f>_xlfn.XLOOKUP(AD90, 數據!B$2:B$50, 數據!M$2:M$50)</f>
        <v>201</v>
      </c>
      <c r="AH90" s="3" t="s">
        <v>158</v>
      </c>
      <c r="AI90" s="63">
        <f>AG90*IF(AH90="G", 450, IF(AH90="D", 350, 0)) * IF(AF90="Y", 1.2, 1)*(INDEX(屬性克制表!$B$2:$T$20, MATCH(AE90, 屬性克制表!$A$2:$A$20, 0), MATCH($L$1, 屬性克制表!$B$1:$T$1, 0)) * INDEX(屬性克制表!$B$2:$T$20, MATCH(AE90, 屬性克制表!$A$2:$A$20, 0), MATCH($M$1, 屬性克制表!$B$1:$T$1, 0)))</f>
        <v>84420</v>
      </c>
    </row>
    <row r="91" spans="10:35">
      <c r="J91" s="48" t="str">
        <v>勾魂眼</v>
      </c>
      <c r="K91" s="48" t="str">
        <v>幽靈</v>
      </c>
      <c r="L91" s="48" t="str">
        <v>Y</v>
      </c>
      <c r="M91" s="48">
        <v>121</v>
      </c>
      <c r="N91" s="48" t="str">
        <v>D</v>
      </c>
      <c r="O91" s="71">
        <v>50820</v>
      </c>
      <c r="P91" s="83">
        <f t="shared" si="13"/>
        <v>0.23283559113300489</v>
      </c>
      <c r="Q91" s="63"/>
      <c r="R91" s="63"/>
      <c r="S91" s="63"/>
      <c r="T91" s="63"/>
      <c r="U91" s="63"/>
      <c r="V91" s="63"/>
      <c r="W91" s="63"/>
      <c r="X91" s="63"/>
      <c r="AD91" s="3" t="s">
        <v>154</v>
      </c>
      <c r="AE91" s="3" t="s">
        <v>156</v>
      </c>
      <c r="AF91" s="4" t="s">
        <v>130</v>
      </c>
      <c r="AG91" s="3">
        <f>_xlfn.XLOOKUP(AD91, 數據!B$2:B$50, 數據!M$2:M$50)</f>
        <v>201</v>
      </c>
      <c r="AH91" s="3" t="s">
        <v>158</v>
      </c>
      <c r="AI91" s="63">
        <f>AG91*IF(AH91="G", 450, IF(AH91="D", 350, 0)) * IF(AF91="Y", 1.2, 1)*(INDEX(屬性克制表!$B$2:$T$20, MATCH(AE91, 屬性克制表!$A$2:$A$20, 0), MATCH($L$1, 屬性克制表!$B$1:$T$1, 0)) * INDEX(屬性克制表!$B$2:$T$20, MATCH(AE91, 屬性克制表!$A$2:$A$20, 0), MATCH($M$1, 屬性克制表!$B$1:$T$1, 0)))</f>
        <v>84420</v>
      </c>
    </row>
    <row r="92" spans="10:35">
      <c r="J92" s="48" t="str">
        <v>超級巨伊布</v>
      </c>
      <c r="K92" s="48" t="str">
        <v>一般</v>
      </c>
      <c r="L92" s="48" t="str">
        <v>Y</v>
      </c>
      <c r="M92" s="48">
        <v>94</v>
      </c>
      <c r="N92" s="48" t="str">
        <v>G</v>
      </c>
      <c r="O92" s="71">
        <v>50760</v>
      </c>
      <c r="P92" s="83">
        <f t="shared" si="13"/>
        <v>0.23256069669247006</v>
      </c>
      <c r="Q92" s="63"/>
      <c r="R92" s="63"/>
      <c r="S92" s="63"/>
      <c r="Y92" s="3"/>
      <c r="Z92" s="3"/>
      <c r="AA92" s="3"/>
      <c r="AB92" s="3"/>
      <c r="AC92" s="3"/>
      <c r="AD92" s="3" t="s">
        <v>154</v>
      </c>
      <c r="AE92" s="3" t="s">
        <v>157</v>
      </c>
      <c r="AF92" s="4" t="s">
        <v>131</v>
      </c>
      <c r="AG92" s="3">
        <f>_xlfn.XLOOKUP(AD92, 數據!B$2:B$50, 數據!M$2:M$50)</f>
        <v>201</v>
      </c>
      <c r="AH92" s="68" t="s">
        <v>158</v>
      </c>
      <c r="AI92" s="63">
        <f>AG92*IF(AH92="G", 450, IF(AH92="D", 350, 0)) * IF(AF92="Y", 1.2, 1)*(INDEX(屬性克制表!$B$2:$T$20, MATCH(AE92, 屬性克制表!$A$2:$A$20, 0), MATCH($L$1, 屬性克制表!$B$1:$T$1, 0)) * INDEX(屬性克制表!$B$2:$T$20, MATCH(AE92, 屬性克制表!$A$2:$A$20, 0), MATCH($M$1, 屬性克制表!$B$1:$T$1, 0)))</f>
        <v>70350</v>
      </c>
    </row>
    <row r="93" spans="10:35">
      <c r="J93" s="48" t="str">
        <v>龐岩怪</v>
      </c>
      <c r="K93" s="48" t="str">
        <v>岩石</v>
      </c>
      <c r="L93" s="48" t="str">
        <v>Y</v>
      </c>
      <c r="M93" s="48">
        <v>190</v>
      </c>
      <c r="N93" s="48" t="str">
        <v>D</v>
      </c>
      <c r="O93" s="71">
        <v>49875</v>
      </c>
      <c r="P93" s="83">
        <f t="shared" si="13"/>
        <v>0.22850600369458124</v>
      </c>
      <c r="Q93" s="63"/>
      <c r="R93" s="63"/>
      <c r="S93" s="63"/>
      <c r="T93" s="63"/>
      <c r="U93" s="63"/>
      <c r="V93" s="63"/>
      <c r="W93" s="63"/>
      <c r="X93" s="63"/>
      <c r="AD93" s="3" t="s">
        <v>160</v>
      </c>
      <c r="AE93" s="3" t="s">
        <v>161</v>
      </c>
      <c r="AF93" s="4" t="s">
        <v>162</v>
      </c>
      <c r="AG93" s="3">
        <f>_xlfn.XLOOKUP(AD93, 數據!B$2:B$50, 數據!M$2:M$50)</f>
        <v>214</v>
      </c>
      <c r="AH93" s="3" t="s">
        <v>163</v>
      </c>
      <c r="AI93" s="63">
        <f>AG93*IF(AH93="G", 450, IF(AH93="D", 350, 0)) * IF(AF93="Y", 1.2, 1)*(INDEX(屬性克制表!$B$2:$T$20, MATCH(AE93, 屬性克制表!$A$2:$A$20, 0), MATCH($L$1, 屬性克制表!$B$1:$T$1, 0)) * INDEX(屬性克制表!$B$2:$T$20, MATCH(AE93, 屬性克制表!$A$2:$A$20, 0), MATCH($M$1, 屬性克制表!$B$1:$T$1, 0)))</f>
        <v>74900</v>
      </c>
    </row>
    <row r="94" spans="10:35">
      <c r="J94" s="48" t="str">
        <v>戰弦蠑螈</v>
      </c>
      <c r="K94" s="48" t="str">
        <v>電</v>
      </c>
      <c r="L94" s="48" t="str">
        <v>Y</v>
      </c>
      <c r="M94" s="48">
        <v>188</v>
      </c>
      <c r="N94" s="48" t="str">
        <v>D</v>
      </c>
      <c r="O94" s="71">
        <v>49350</v>
      </c>
      <c r="P94" s="83">
        <f t="shared" si="13"/>
        <v>0.22610067733990144</v>
      </c>
      <c r="Q94" s="63"/>
      <c r="R94" s="63"/>
      <c r="S94" s="63"/>
      <c r="T94" s="63"/>
      <c r="U94" s="63"/>
      <c r="V94" s="63"/>
      <c r="W94" s="63"/>
      <c r="X94" s="63"/>
      <c r="AD94" s="3" t="s">
        <v>165</v>
      </c>
      <c r="AE94" s="3" t="s">
        <v>99</v>
      </c>
      <c r="AF94" s="4" t="s">
        <v>130</v>
      </c>
      <c r="AG94" s="3">
        <f>_xlfn.XLOOKUP(AD94, 數據!B$2:B$50, 數據!M$2:M$50)</f>
        <v>199</v>
      </c>
      <c r="AH94" s="3" t="s">
        <v>6</v>
      </c>
      <c r="AI94" s="63">
        <f>AG94*IF(AH94="G", 450, IF(AH94="D", 350, 0)) * IF(AF94="Y", 1.2, 1)*(INDEX(屬性克制表!$B$2:$T$20, MATCH(AE94, 屬性克制表!$A$2:$A$20, 0), MATCH($L$1, 屬性克制表!$B$1:$T$1, 0)) * INDEX(屬性克制表!$B$2:$T$20, MATCH(AE94, 屬性克制表!$A$2:$A$20, 0), MATCH($M$1, 屬性克制表!$B$1:$T$1, 0)))</f>
        <v>83580</v>
      </c>
    </row>
    <row r="95" spans="10:35">
      <c r="J95" s="48" t="str">
        <v>甜冷美后</v>
      </c>
      <c r="K95" s="48" t="str">
        <v>草</v>
      </c>
      <c r="L95" s="48" t="str">
        <v>Y</v>
      </c>
      <c r="M95" s="48">
        <v>187</v>
      </c>
      <c r="N95" s="48" t="str">
        <v>D</v>
      </c>
      <c r="O95" s="71">
        <v>49087.5</v>
      </c>
      <c r="P95" s="83">
        <f t="shared" si="13"/>
        <v>0.22489801416256153</v>
      </c>
      <c r="Q95" s="63"/>
      <c r="R95" s="63"/>
      <c r="S95" s="63"/>
      <c r="T95" s="63"/>
      <c r="U95" s="63"/>
      <c r="V95" s="63"/>
      <c r="W95" s="63"/>
      <c r="X95" s="63"/>
      <c r="AD95" s="3" t="s">
        <v>165</v>
      </c>
      <c r="AE95" s="3" t="s">
        <v>47</v>
      </c>
      <c r="AF95" s="4" t="s">
        <v>130</v>
      </c>
      <c r="AG95" s="3">
        <f>_xlfn.XLOOKUP(AD95, 數據!B$2:B$50, 數據!M$2:M$50)</f>
        <v>199</v>
      </c>
      <c r="AH95" s="3" t="s">
        <v>6</v>
      </c>
      <c r="AI95" s="63">
        <f>AG95*IF(AH95="G", 450, IF(AH95="D", 350, 0)) * IF(AF95="Y", 1.2, 1)*(INDEX(屬性克制表!$B$2:$T$20, MATCH(AE95, 屬性克制表!$A$2:$A$20, 0), MATCH($L$1, 屬性克制表!$B$1:$T$1, 0)) * INDEX(屬性克制表!$B$2:$T$20, MATCH(AE95, 屬性克制表!$A$2:$A$20, 0), MATCH($M$1, 屬性克制表!$B$1:$T$1, 0)))</f>
        <v>133728</v>
      </c>
    </row>
    <row r="96" spans="10:35">
      <c r="J96" s="48" t="str">
        <v>水箭龜</v>
      </c>
      <c r="K96" s="48" t="str">
        <v>水</v>
      </c>
      <c r="L96" s="48" t="str">
        <v>Y</v>
      </c>
      <c r="M96" s="48">
        <v>145</v>
      </c>
      <c r="N96" s="48" t="str">
        <v>G</v>
      </c>
      <c r="O96" s="71">
        <v>48937.5</v>
      </c>
      <c r="P96" s="83">
        <f t="shared" si="13"/>
        <v>0.22421077806122444</v>
      </c>
      <c r="Q96" s="63"/>
      <c r="R96" s="63"/>
      <c r="S96" s="63"/>
      <c r="T96" s="63"/>
      <c r="U96" s="63"/>
      <c r="V96" s="63"/>
      <c r="W96" s="63"/>
      <c r="X96" s="63"/>
      <c r="AD96" s="3" t="s">
        <v>165</v>
      </c>
      <c r="AE96" s="3" t="s">
        <v>35</v>
      </c>
      <c r="AF96" s="4" t="s">
        <v>131</v>
      </c>
      <c r="AG96" s="3">
        <f>_xlfn.XLOOKUP(AD96, 數據!B$2:B$50, 數據!M$2:M$50)</f>
        <v>199</v>
      </c>
      <c r="AH96" s="3" t="s">
        <v>6</v>
      </c>
      <c r="AI96" s="63">
        <f>AG96*IF(AH96="G", 450, IF(AH96="D", 350, 0)) * IF(AF96="Y", 1.2, 1)*(INDEX(屬性克制表!$B$2:$T$20, MATCH(AE96, 屬性克制表!$A$2:$A$20, 0), MATCH($L$1, 屬性克制表!$B$1:$T$1, 0)) * INDEX(屬性克制表!$B$2:$T$20, MATCH(AE96, 屬性克制表!$A$2:$A$20, 0), MATCH($M$1, 屬性克制表!$B$1:$T$1, 0)))</f>
        <v>43531.25</v>
      </c>
    </row>
    <row r="97" spans="10:35">
      <c r="J97" s="48" t="str">
        <v>耿鬼</v>
      </c>
      <c r="K97" s="48" t="str">
        <v>惡</v>
      </c>
      <c r="L97" s="48" t="str">
        <v>N</v>
      </c>
      <c r="M97" s="48">
        <v>223</v>
      </c>
      <c r="N97" s="48" t="str">
        <v>D</v>
      </c>
      <c r="O97" s="71">
        <v>48781.25</v>
      </c>
      <c r="P97" s="83">
        <f t="shared" si="13"/>
        <v>0.22349490712233167</v>
      </c>
      <c r="Q97" s="63"/>
      <c r="R97" s="63"/>
      <c r="S97" s="63"/>
      <c r="T97" s="63"/>
      <c r="U97" s="63"/>
      <c r="V97" s="63"/>
      <c r="W97" s="63"/>
      <c r="X97" s="63"/>
      <c r="AD97" s="3" t="s">
        <v>165</v>
      </c>
      <c r="AE97" s="3" t="s">
        <v>77</v>
      </c>
      <c r="AF97" s="4" t="s">
        <v>131</v>
      </c>
      <c r="AG97" s="3">
        <f>_xlfn.XLOOKUP(AD97, 數據!B$2:B$50, 數據!M$2:M$50)</f>
        <v>199</v>
      </c>
      <c r="AH97" s="3" t="s">
        <v>6</v>
      </c>
      <c r="AI97" s="63">
        <f>AG97*IF(AH97="G", 450, IF(AH97="D", 350, 0)) * IF(AF97="Y", 1.2, 1)*(INDEX(屬性克制表!$B$2:$T$20, MATCH(AE97, 屬性克制表!$A$2:$A$20, 0), MATCH($L$1, 屬性克制表!$B$1:$T$1, 0)) * INDEX(屬性克制表!$B$2:$T$20, MATCH(AE97, 屬性克制表!$A$2:$A$20, 0), MATCH($M$1, 屬性克制表!$B$1:$T$1, 0)))</f>
        <v>43531.25</v>
      </c>
    </row>
    <row r="98" spans="10:35">
      <c r="J98" s="48" t="str">
        <v>鐮刀盔</v>
      </c>
      <c r="K98" s="48" t="str">
        <v>水</v>
      </c>
      <c r="L98" s="48" t="str">
        <v>Y</v>
      </c>
      <c r="M98" s="48">
        <v>185</v>
      </c>
      <c r="N98" s="48" t="str">
        <v>D</v>
      </c>
      <c r="O98" s="71">
        <v>48562.5</v>
      </c>
      <c r="P98" s="83">
        <f t="shared" si="13"/>
        <v>0.22249268780788173</v>
      </c>
      <c r="Q98" s="63"/>
      <c r="R98" s="63"/>
      <c r="S98" s="63"/>
      <c r="T98" s="63"/>
      <c r="U98" s="63"/>
      <c r="V98" s="63"/>
      <c r="W98" s="63"/>
      <c r="X98" s="63"/>
      <c r="AD98" s="3" t="s">
        <v>164</v>
      </c>
      <c r="AE98" s="3" t="s">
        <v>35</v>
      </c>
      <c r="AF98" s="4" t="s">
        <v>130</v>
      </c>
      <c r="AG98" s="3">
        <f>_xlfn.XLOOKUP(AD98, 數據!B$2:B$50, 數據!M$2:M$50)</f>
        <v>187</v>
      </c>
      <c r="AH98" s="3" t="s">
        <v>6</v>
      </c>
      <c r="AI98" s="63">
        <f>AG98*IF(AH98="G", 450, IF(AH98="D", 350, 0)) * IF(AF98="Y", 1.2, 1)*(INDEX(屬性克制表!$B$2:$T$20, MATCH(AE98, 屬性克制表!$A$2:$A$20, 0), MATCH($L$1, 屬性克制表!$B$1:$T$1, 0)) * INDEX(屬性克制表!$B$2:$T$20, MATCH(AE98, 屬性克制表!$A$2:$A$20, 0), MATCH($M$1, 屬性克制表!$B$1:$T$1, 0)))</f>
        <v>49087.5</v>
      </c>
    </row>
    <row r="99" spans="10:35">
      <c r="J99" s="48" t="str">
        <v>葉伊布</v>
      </c>
      <c r="K99" s="48" t="str">
        <v>草</v>
      </c>
      <c r="L99" s="48" t="str">
        <v>Y</v>
      </c>
      <c r="M99" s="48">
        <v>183</v>
      </c>
      <c r="N99" s="48" t="str">
        <v>D</v>
      </c>
      <c r="O99" s="71">
        <v>48037.5</v>
      </c>
      <c r="P99" s="83">
        <f t="shared" si="13"/>
        <v>0.22008736145320193</v>
      </c>
      <c r="Q99" s="63"/>
      <c r="R99" s="63"/>
      <c r="S99" s="63"/>
      <c r="T99" s="63"/>
      <c r="U99" s="63"/>
      <c r="V99" s="63"/>
      <c r="W99" s="63"/>
      <c r="X99" s="63"/>
      <c r="AD99" s="3" t="s">
        <v>164</v>
      </c>
      <c r="AE99" s="3" t="s">
        <v>99</v>
      </c>
      <c r="AF99" s="4" t="s">
        <v>131</v>
      </c>
      <c r="AG99" s="3">
        <f>_xlfn.XLOOKUP(AD99, 數據!B$2:B$100, 數據!M$2:M$100)</f>
        <v>187</v>
      </c>
      <c r="AH99" s="3" t="s">
        <v>6</v>
      </c>
      <c r="AI99" s="63">
        <f>AG99*IF(AH99="G", 450, IF(AH99="D", 350, 0)) * IF(AF99="Y", 1.2, 1)*(INDEX(屬性克制表!$B$2:$T$20, MATCH(AE99, 屬性克制表!$A$2:$A$20, 0), MATCH($L$1, 屬性克制表!$B$1:$T$1, 0)) * INDEX(屬性克制表!$B$2:$T$20, MATCH(AE99, 屬性克制表!$A$2:$A$20, 0), MATCH($M$1, 屬性克制表!$B$1:$T$1, 0)))</f>
        <v>65450</v>
      </c>
    </row>
    <row r="100" spans="10:35">
      <c r="J100" s="48" t="str">
        <v>毛毛角羊</v>
      </c>
      <c r="K100" s="48" t="str">
        <v>格鬥</v>
      </c>
      <c r="L100" s="48" t="str">
        <v>N</v>
      </c>
      <c r="M100" s="48">
        <v>136</v>
      </c>
      <c r="N100" s="48" t="str">
        <v>D</v>
      </c>
      <c r="O100" s="71">
        <v>47600</v>
      </c>
      <c r="P100" s="83">
        <f t="shared" si="13"/>
        <v>0.21808292282430211</v>
      </c>
      <c r="Q100" s="67"/>
      <c r="R100" s="67"/>
      <c r="S100" s="67"/>
      <c r="T100" s="67"/>
      <c r="U100" s="67"/>
      <c r="V100" s="67"/>
      <c r="W100" s="67"/>
      <c r="X100" s="67"/>
      <c r="AD100" s="3" t="s">
        <v>167</v>
      </c>
      <c r="AE100" s="3" t="s">
        <v>169</v>
      </c>
      <c r="AF100" s="4" t="s">
        <v>130</v>
      </c>
      <c r="AG100" s="3">
        <f>_xlfn.XLOOKUP(AD100, 數據!B$2:B$100, 數據!M$2:M$100)</f>
        <v>94</v>
      </c>
      <c r="AH100" s="3" t="s">
        <v>5</v>
      </c>
      <c r="AI100" s="63">
        <f>AG100*IF(AH100="G", 450, IF(AH100="D", 350, 0)) * IF(AF100="Y", 1.2, 1)*(INDEX(屬性克制表!$B$2:$T$20, MATCH(AE100, 屬性克制表!$A$2:$A$20, 0), MATCH($L$1, 屬性克制表!$B$1:$T$1, 0)) * INDEX(屬性克制表!$B$2:$T$20, MATCH(AE100, 屬性克制表!$A$2:$A$20, 0), MATCH($M$1, 屬性克制表!$B$1:$T$1, 0)))</f>
        <v>50760</v>
      </c>
    </row>
    <row r="101" spans="10:35">
      <c r="J101" s="48" t="str">
        <v>多刺菊石獸</v>
      </c>
      <c r="K101" s="48" t="str">
        <v>岩石</v>
      </c>
      <c r="L101" s="48" t="str">
        <v>Y</v>
      </c>
      <c r="M101" s="48">
        <v>177</v>
      </c>
      <c r="N101" s="48" t="str">
        <v>D</v>
      </c>
      <c r="O101" s="71">
        <v>46462.5</v>
      </c>
      <c r="P101" s="83">
        <f t="shared" si="13"/>
        <v>0.21287138238916253</v>
      </c>
      <c r="AD101" s="3" t="s">
        <v>170</v>
      </c>
      <c r="AE101" s="3" t="s">
        <v>172</v>
      </c>
      <c r="AF101" s="4" t="s">
        <v>130</v>
      </c>
      <c r="AG101" s="3">
        <f>_xlfn.XLOOKUP(AD101, 數據!B$2:B$100, 數據!M$2:M$100)</f>
        <v>174</v>
      </c>
      <c r="AH101" s="3" t="s">
        <v>6</v>
      </c>
      <c r="AI101" s="63">
        <f>AG101*IF(AH101="G", 450, IF(AH101="D", 350, 0)) * IF(AF101="Y", 1.2, 1)*(INDEX(屬性克制表!$B$2:$T$20, MATCH(AE101, 屬性克制表!$A$2:$A$20, 0), MATCH($L$1, 屬性克制表!$B$1:$T$1, 0)) * INDEX(屬性克制表!$B$2:$T$20, MATCH(AE101, 屬性克制表!$A$2:$A$20, 0), MATCH($M$1, 屬性克制表!$B$1:$T$1, 0)))</f>
        <v>45675</v>
      </c>
    </row>
    <row r="102" spans="10:35">
      <c r="J102" s="48" t="str">
        <v>多刺菊石獸</v>
      </c>
      <c r="K102" s="48" t="str">
        <v>水</v>
      </c>
      <c r="L102" s="48" t="str">
        <v>Y</v>
      </c>
      <c r="M102" s="48">
        <v>177</v>
      </c>
      <c r="N102" s="48" t="str">
        <v>D</v>
      </c>
      <c r="O102" s="71">
        <v>46462.5</v>
      </c>
      <c r="P102" s="83">
        <f t="shared" si="13"/>
        <v>0.21287138238916253</v>
      </c>
      <c r="AD102" s="3" t="s">
        <v>173</v>
      </c>
      <c r="AE102" s="3" t="s">
        <v>177</v>
      </c>
      <c r="AF102" s="4" t="s">
        <v>130</v>
      </c>
      <c r="AG102" s="3">
        <f>_xlfn.XLOOKUP(AD102, 數據!B$2:B$100, 數據!M$2:M$100)</f>
        <v>195</v>
      </c>
      <c r="AH102" s="3" t="s">
        <v>6</v>
      </c>
      <c r="AI102" s="63">
        <f>AG102*IF(AH102="G", 450, IF(AH102="D", 350, 0)) * IF(AF102="Y", 1.2, 1)*(INDEX(屬性克制表!$B$2:$T$20, MATCH(AE102, 屬性克制表!$A$2:$A$20, 0), MATCH($L$1, 屬性克制表!$B$1:$T$1, 0)) * INDEX(屬性克制表!$B$2:$T$20, MATCH(AE102, 屬性克制表!$A$2:$A$20, 0), MATCH($M$1, 屬性克制表!$B$1:$T$1, 0)))</f>
        <v>51187.5</v>
      </c>
    </row>
    <row r="103" spans="10:35">
      <c r="J103" s="48" t="str">
        <v>水伊布</v>
      </c>
      <c r="K103" s="48" t="str">
        <v>水</v>
      </c>
      <c r="L103" s="48" t="str">
        <v>Y</v>
      </c>
      <c r="M103" s="48">
        <v>174</v>
      </c>
      <c r="N103" s="48" t="str">
        <v>D</v>
      </c>
      <c r="O103" s="71">
        <v>45675</v>
      </c>
      <c r="P103" s="83">
        <f t="shared" si="13"/>
        <v>0.20926339285714282</v>
      </c>
      <c r="AD103" s="3" t="s">
        <v>175</v>
      </c>
      <c r="AE103" s="3" t="s">
        <v>100</v>
      </c>
      <c r="AF103" s="4" t="s">
        <v>130</v>
      </c>
      <c r="AG103" s="3">
        <f>_xlfn.XLOOKUP(AD103, 數據!B$2:B$100, 數據!M$2:M$100)</f>
        <v>206</v>
      </c>
      <c r="AH103" s="3" t="s">
        <v>6</v>
      </c>
      <c r="AI103" s="63">
        <f>AG103*IF(AH103="G", 450, IF(AH103="D", 350, 0)) * IF(AF103="Y", 1.2, 1)*(INDEX(屬性克制表!$B$2:$T$20, MATCH(AE103, 屬性克制表!$A$2:$A$20, 0), MATCH($L$1, 屬性克制表!$B$1:$T$1, 0)) * INDEX(屬性克制表!$B$2:$T$20, MATCH(AE103, 屬性克制表!$A$2:$A$20, 0), MATCH($M$1, 屬性克制表!$B$1:$T$1, 0)))</f>
        <v>138432</v>
      </c>
    </row>
    <row r="104" spans="10:35">
      <c r="J104" s="48" t="str">
        <v>沙奈朵</v>
      </c>
      <c r="K104" s="48" t="str">
        <v>草</v>
      </c>
      <c r="L104" s="48" t="str">
        <v>N</v>
      </c>
      <c r="M104" s="48">
        <v>199</v>
      </c>
      <c r="N104" s="48" t="str">
        <v>D</v>
      </c>
      <c r="O104" s="71">
        <v>43531.25</v>
      </c>
      <c r="P104" s="83">
        <f t="shared" si="13"/>
        <v>0.19944164357553362</v>
      </c>
      <c r="AD104" s="3" t="s">
        <v>178</v>
      </c>
      <c r="AE104" s="3" t="s">
        <v>97</v>
      </c>
      <c r="AF104" s="4" t="s">
        <v>130</v>
      </c>
      <c r="AG104" s="3">
        <f>_xlfn.XLOOKUP(AD104, 數據!B$2:B$100, 數據!M$2:M$100)</f>
        <v>218</v>
      </c>
      <c r="AH104" s="3" t="s">
        <v>6</v>
      </c>
      <c r="AI104" s="63">
        <f>AG104*IF(AH104="G", 450, IF(AH104="D", 350, 0)) * IF(AF104="Y", 1.2, 1)*(INDEX(屬性克制表!$B$2:$T$20, MATCH(AE104, 屬性克制表!$A$2:$A$20, 0), MATCH($L$1, 屬性克制表!$B$1:$T$1, 0)) * INDEX(屬性克制表!$B$2:$T$20, MATCH(AE104, 屬性克制表!$A$2:$A$20, 0), MATCH($M$1, 屬性克制表!$B$1:$T$1, 0)))</f>
        <v>146496</v>
      </c>
    </row>
    <row r="105" spans="10:35">
      <c r="J105" s="48" t="str">
        <v>沙奈朵</v>
      </c>
      <c r="K105" s="48" t="str">
        <v>電</v>
      </c>
      <c r="L105" s="48" t="str">
        <v>N</v>
      </c>
      <c r="M105" s="48">
        <v>199</v>
      </c>
      <c r="N105" s="48" t="str">
        <v>D</v>
      </c>
      <c r="O105" s="71">
        <v>43531.25</v>
      </c>
      <c r="P105" s="83">
        <f t="shared" si="13"/>
        <v>0.19944164357553362</v>
      </c>
      <c r="AD105" s="3" t="s">
        <v>179</v>
      </c>
      <c r="AE105" s="3" t="s">
        <v>159</v>
      </c>
      <c r="AF105" s="4" t="s">
        <v>130</v>
      </c>
      <c r="AG105" s="3">
        <f>_xlfn.XLOOKUP(AD105, 數據!B$2:B$100, 數據!M$2:M$100)</f>
        <v>111</v>
      </c>
      <c r="AH105" s="3" t="s">
        <v>6</v>
      </c>
      <c r="AI105" s="63">
        <f>AG105*IF(AH105="G", 450, IF(AH105="D", 350, 0)) * IF(AF105="Y", 1.2, 1)*(INDEX(屬性克制表!$B$2:$T$20, MATCH(AE105, 屬性克制表!$A$2:$A$20, 0), MATCH($L$1, 屬性克制表!$B$1:$T$1, 0)) * INDEX(屬性克制表!$B$2:$T$20, MATCH(AE105, 屬性克制表!$A$2:$A$20, 0), MATCH($M$1, 屬性克制表!$B$1:$T$1, 0)))</f>
        <v>29137.5</v>
      </c>
    </row>
    <row r="106" spans="10:35">
      <c r="J106" s="48" t="str">
        <v>巨鉗蟹</v>
      </c>
      <c r="K106" s="48" t="str">
        <v>地面</v>
      </c>
      <c r="L106" s="48" t="str">
        <v>N</v>
      </c>
      <c r="M106" s="48">
        <v>198</v>
      </c>
      <c r="N106" s="48" t="str">
        <v>D</v>
      </c>
      <c r="O106" s="71">
        <v>43312.5</v>
      </c>
      <c r="P106" s="83">
        <f t="shared" si="13"/>
        <v>0.19843942426108371</v>
      </c>
      <c r="AD106" s="3" t="s">
        <v>182</v>
      </c>
      <c r="AE106" s="3" t="s">
        <v>166</v>
      </c>
      <c r="AF106" s="4" t="s">
        <v>130</v>
      </c>
      <c r="AG106" s="3">
        <f>_xlfn.XLOOKUP(AD106, 數據!B$2:B$100, 數據!M$2:M$100)</f>
        <v>183</v>
      </c>
      <c r="AH106" s="3" t="s">
        <v>6</v>
      </c>
      <c r="AI106" s="63">
        <f>AG106*IF(AH106="G", 450, IF(AH106="D", 350, 0)) * IF(AF106="Y", 1.2, 1)*(INDEX(屬性克制表!$B$2:$T$20, MATCH(AE106, 屬性克制表!$A$2:$A$20, 0), MATCH($L$1, 屬性克制表!$B$1:$T$1, 0)) * INDEX(屬性克制表!$B$2:$T$20, MATCH(AE106, 屬性克制表!$A$2:$A$20, 0), MATCH($M$1, 屬性克制表!$B$1:$T$1, 0)))</f>
        <v>48037.5</v>
      </c>
    </row>
    <row r="107" spans="10:35">
      <c r="J107" s="48" t="str">
        <v>妙蛙花</v>
      </c>
      <c r="K107" s="48" t="str">
        <v>草</v>
      </c>
      <c r="L107" s="48" t="str">
        <v>Y</v>
      </c>
      <c r="M107" s="48">
        <v>159</v>
      </c>
      <c r="N107" s="48" t="str">
        <v>D</v>
      </c>
      <c r="O107" s="71">
        <v>41737.5</v>
      </c>
      <c r="P107" s="83">
        <f t="shared" si="13"/>
        <v>0.19122344519704432</v>
      </c>
      <c r="AD107" s="3" t="s">
        <v>184</v>
      </c>
      <c r="AE107" s="3" t="s">
        <v>98</v>
      </c>
      <c r="AF107" s="4" t="s">
        <v>130</v>
      </c>
      <c r="AG107" s="3">
        <f>_xlfn.XLOOKUP(AD107, 數據!B$2:B$100, 數據!M$2:M$100)</f>
        <v>200</v>
      </c>
      <c r="AH107" s="3" t="s">
        <v>6</v>
      </c>
      <c r="AI107" s="63">
        <f>AG107*IF(AH107="G", 450, IF(AH107="D", 350, 0)) * IF(AF107="Y", 1.2, 1)*(INDEX(屬性克制表!$B$2:$T$20, MATCH(AE107, 屬性克制表!$A$2:$A$20, 0), MATCH($L$1, 屬性克制表!$B$1:$T$1, 0)) * INDEX(屬性克制表!$B$2:$T$20, MATCH(AE107, 屬性克制表!$A$2:$A$20, 0), MATCH($M$1, 屬性克制表!$B$1:$T$1, 0)))</f>
        <v>134400</v>
      </c>
    </row>
    <row r="108" spans="10:35">
      <c r="J108" s="48" t="str">
        <v>龐岩怪</v>
      </c>
      <c r="K108" s="48" t="str">
        <v>地面</v>
      </c>
      <c r="L108" s="48" t="str">
        <v>N</v>
      </c>
      <c r="M108" s="48">
        <v>190</v>
      </c>
      <c r="N108" s="48" t="str">
        <v>D</v>
      </c>
      <c r="O108" s="71">
        <v>41562.5</v>
      </c>
      <c r="P108" s="83">
        <f t="shared" si="13"/>
        <v>0.19042166974548436</v>
      </c>
      <c r="AD108" s="3" t="s">
        <v>186</v>
      </c>
      <c r="AE108" s="3" t="s">
        <v>83</v>
      </c>
      <c r="AF108" s="4" t="s">
        <v>130</v>
      </c>
      <c r="AG108" s="3">
        <f>_xlfn.XLOOKUP(AD108, 數據!B$2:B$100, 數據!M$2:M$100)</f>
        <v>172</v>
      </c>
      <c r="AH108" s="3" t="s">
        <v>6</v>
      </c>
      <c r="AI108" s="63">
        <f>AG108*IF(AH108="G", 450, IF(AH108="D", 350, 0)) * IF(AF108="Y", 1.2, 1)*(INDEX(屬性克制表!$B$2:$T$20, MATCH(AE108, 屬性克制表!$A$2:$A$20, 0), MATCH($L$1, 屬性克制表!$B$1:$T$1, 0)) * INDEX(屬性克制表!$B$2:$T$20, MATCH(AE108, 屬性克制表!$A$2:$A$20, 0), MATCH($M$1, 屬性克制表!$B$1:$T$1, 0)))</f>
        <v>72240</v>
      </c>
    </row>
    <row r="109" spans="10:35">
      <c r="J109" s="48" t="str">
        <v>帝牙海獅</v>
      </c>
      <c r="K109" s="48" t="str">
        <v>水</v>
      </c>
      <c r="L109" s="48" t="str">
        <v>Y</v>
      </c>
      <c r="M109" s="48">
        <v>156</v>
      </c>
      <c r="N109" s="48" t="str">
        <v>D</v>
      </c>
      <c r="O109" s="71">
        <v>40950</v>
      </c>
      <c r="P109" s="83">
        <f t="shared" si="13"/>
        <v>0.18761545566502461</v>
      </c>
      <c r="AD109" s="3" t="s">
        <v>188</v>
      </c>
      <c r="AE109" s="3" t="s">
        <v>70</v>
      </c>
      <c r="AF109" s="4" t="s">
        <v>130</v>
      </c>
      <c r="AG109" s="3">
        <f>_xlfn.XLOOKUP(AD109, 數據!B$2:B$100, 數據!M$2:M$100)</f>
        <v>199</v>
      </c>
      <c r="AH109" s="3" t="s">
        <v>6</v>
      </c>
      <c r="AI109" s="63">
        <f>AG109*IF(AH109="G", 450, IF(AH109="D", 350, 0)) * IF(AF109="Y", 1.2, 1)*(INDEX(屬性克制表!$B$2:$T$20, MATCH(AE109, 屬性克制表!$A$2:$A$20, 0), MATCH($L$1, 屬性克制表!$B$1:$T$1, 0)) * INDEX(屬性克制表!$B$2:$T$20, MATCH(AE109, 屬性克制表!$A$2:$A$20, 0), MATCH($M$1, 屬性克制表!$B$1:$T$1, 0)))</f>
        <v>83580</v>
      </c>
    </row>
    <row r="110" spans="10:35">
      <c r="J110" s="48" t="str">
        <v>鐮刀盔</v>
      </c>
      <c r="K110" s="48" t="str">
        <v>地面</v>
      </c>
      <c r="L110" s="48" t="str">
        <v>N</v>
      </c>
      <c r="M110" s="48">
        <v>185</v>
      </c>
      <c r="N110" s="48" t="str">
        <v>D</v>
      </c>
      <c r="O110" s="71">
        <v>40468.75</v>
      </c>
      <c r="P110" s="83">
        <f t="shared" si="13"/>
        <v>0.18541057317323478</v>
      </c>
      <c r="AD110" s="3" t="s">
        <v>188</v>
      </c>
      <c r="AE110" s="3" t="s">
        <v>97</v>
      </c>
      <c r="AF110" s="4" t="s">
        <v>130</v>
      </c>
      <c r="AG110" s="3">
        <f>_xlfn.XLOOKUP(AD110, 數據!B$2:B$100, 數據!M$2:M$100)</f>
        <v>199</v>
      </c>
      <c r="AH110" s="3" t="s">
        <v>6</v>
      </c>
      <c r="AI110" s="63">
        <f>AG110*IF(AH110="G", 450, IF(AH110="D", 350, 0)) * IF(AF110="Y", 1.2, 1)*(INDEX(屬性克制表!$B$2:$T$20, MATCH(AE110, 屬性克制表!$A$2:$A$20, 0), MATCH($L$1, 屬性克制表!$B$1:$T$1, 0)) * INDEX(屬性克制表!$B$2:$T$20, MATCH(AE110, 屬性克制表!$A$2:$A$20, 0), MATCH($M$1, 屬性克制表!$B$1:$T$1, 0)))</f>
        <v>133728</v>
      </c>
    </row>
    <row r="111" spans="10:35">
      <c r="J111" s="48" t="str">
        <v>多刺菊石獸</v>
      </c>
      <c r="K111" s="48" t="str">
        <v>地面</v>
      </c>
      <c r="L111" s="48" t="str">
        <v>N</v>
      </c>
      <c r="M111" s="48">
        <v>177</v>
      </c>
      <c r="N111" s="48" t="str">
        <v>D</v>
      </c>
      <c r="O111" s="71">
        <v>38718.75</v>
      </c>
      <c r="P111" s="83">
        <f t="shared" si="13"/>
        <v>0.17739281865763543</v>
      </c>
      <c r="AD111" s="3" t="s">
        <v>188</v>
      </c>
      <c r="AE111" s="3" t="s">
        <v>83</v>
      </c>
      <c r="AF111" s="4" t="s">
        <v>131</v>
      </c>
      <c r="AG111" s="3">
        <f>_xlfn.XLOOKUP(AD111, 數據!B$2:B$100, 數據!M$2:M$100)</f>
        <v>199</v>
      </c>
      <c r="AH111" s="3" t="s">
        <v>6</v>
      </c>
      <c r="AI111" s="63">
        <f>AG111*IF(AH111="G", 450, IF(AH111="D", 350, 0)) * IF(AF111="Y", 1.2, 1)*(INDEX(屬性克制表!$B$2:$T$20, MATCH(AE111, 屬性克制表!$A$2:$A$20, 0), MATCH($L$1, 屬性克制表!$B$1:$T$1, 0)) * INDEX(屬性克制表!$B$2:$T$20, MATCH(AE111, 屬性克制表!$A$2:$A$20, 0), MATCH($M$1, 屬性克制表!$B$1:$T$1, 0)))</f>
        <v>69650</v>
      </c>
    </row>
    <row r="112" spans="10:35">
      <c r="J112" s="48" t="str">
        <v>水君</v>
      </c>
      <c r="K112" s="48" t="str">
        <v>水</v>
      </c>
      <c r="L112" s="48" t="str">
        <v>Y</v>
      </c>
      <c r="M112" s="48">
        <v>147</v>
      </c>
      <c r="N112" s="48" t="str">
        <v>D</v>
      </c>
      <c r="O112" s="71">
        <v>38587.5</v>
      </c>
      <c r="P112" s="83">
        <f t="shared" si="13"/>
        <v>0.1767914870689655</v>
      </c>
      <c r="AD112" s="3" t="s">
        <v>190</v>
      </c>
      <c r="AE112" s="3" t="s">
        <v>97</v>
      </c>
      <c r="AF112" s="4" t="s">
        <v>130</v>
      </c>
      <c r="AG112" s="3">
        <f>_xlfn.XLOOKUP(AD112, 數據!B$2:B$100, 數據!M$2:M$100)</f>
        <v>151</v>
      </c>
      <c r="AH112" s="3" t="s">
        <v>6</v>
      </c>
      <c r="AI112" s="63">
        <f>AG112*IF(AH112="G", 450, IF(AH112="D", 350, 0)) * IF(AF112="Y", 1.2, 1)*(INDEX(屬性克制表!$B$2:$T$20, MATCH(AE112, 屬性克制表!$A$2:$A$20, 0), MATCH($L$1, 屬性克制表!$B$1:$T$1, 0)) * INDEX(屬性克制表!$B$2:$T$20, MATCH(AE112, 屬性克制表!$A$2:$A$20, 0), MATCH($M$1, 屬性克制表!$B$1:$T$1, 0)))</f>
        <v>101472</v>
      </c>
    </row>
    <row r="113" spans="10:35">
      <c r="J113" s="48" t="str">
        <v>吼鯨王</v>
      </c>
      <c r="K113" s="48" t="str">
        <v>水</v>
      </c>
      <c r="L113" s="48" t="str">
        <v>Y</v>
      </c>
      <c r="M113" s="48">
        <v>147</v>
      </c>
      <c r="N113" s="48" t="str">
        <v>D</v>
      </c>
      <c r="O113" s="71">
        <v>38587.5</v>
      </c>
      <c r="P113" s="83">
        <f t="shared" si="13"/>
        <v>0.1767914870689655</v>
      </c>
      <c r="AD113" s="3" t="s">
        <v>190</v>
      </c>
      <c r="AE113" s="3" t="s">
        <v>43</v>
      </c>
      <c r="AF113" s="4" t="s">
        <v>131</v>
      </c>
      <c r="AG113" s="3">
        <f>_xlfn.XLOOKUP(AD113, 數據!B$2:B$100, 數據!M$2:M$100)</f>
        <v>151</v>
      </c>
      <c r="AH113" s="3" t="s">
        <v>6</v>
      </c>
      <c r="AI113" s="63">
        <f>AG113*IF(AH113="G", 450, IF(AH113="D", 350, 0)) * IF(AF113="Y", 1.2, 1)*(INDEX(屬性克制表!$B$2:$T$20, MATCH(AE113, 屬性克制表!$A$2:$A$20, 0), MATCH($L$1, 屬性克制表!$B$1:$T$1, 0)) * INDEX(屬性克制表!$B$2:$T$20, MATCH(AE113, 屬性克制表!$A$2:$A$20, 0), MATCH($M$1, 屬性克制表!$B$1:$T$1, 0)))</f>
        <v>135296.00000000003</v>
      </c>
    </row>
    <row r="114" spans="10:35">
      <c r="J114" s="48" t="str">
        <v>水箭龜</v>
      </c>
      <c r="K114" s="48" t="str">
        <v>水</v>
      </c>
      <c r="L114" s="48" t="str">
        <v>Y</v>
      </c>
      <c r="M114" s="48">
        <v>145</v>
      </c>
      <c r="N114" s="48" t="str">
        <v>D</v>
      </c>
      <c r="O114" s="71">
        <v>38062.5</v>
      </c>
      <c r="P114" s="83">
        <f t="shared" si="13"/>
        <v>0.1743861607142857</v>
      </c>
      <c r="AD114" s="3" t="s">
        <v>193</v>
      </c>
      <c r="AE114" s="3" t="s">
        <v>80</v>
      </c>
      <c r="AF114" s="4" t="s">
        <v>130</v>
      </c>
      <c r="AG114" s="3">
        <f>_xlfn.XLOOKUP(AD114, 數據!B$2:B$100, 數據!M$2:M$100)</f>
        <v>155</v>
      </c>
      <c r="AH114" s="3" t="s">
        <v>5</v>
      </c>
      <c r="AI114" s="63">
        <f>AG114*IF(AH114="G", 450, IF(AH114="D", 350, 0)) * IF(AF114="Y", 1.2, 1)*(INDEX(屬性克制表!$B$2:$T$20, MATCH(AE114, 屬性克制表!$A$2:$A$20, 0), MATCH($L$1, 屬性克制表!$B$1:$T$1, 0)) * INDEX(屬性克制表!$B$2:$T$20, MATCH(AE114, 屬性克制表!$A$2:$A$20, 0), MATCH($M$1, 屬性克制表!$B$1:$T$1, 0)))</f>
        <v>133920</v>
      </c>
    </row>
    <row r="115" spans="10:35">
      <c r="J115" t="str">
        <v>吼鯨王</v>
      </c>
      <c r="K115" t="str">
        <v>岩石</v>
      </c>
      <c r="L115" t="str">
        <v>N</v>
      </c>
      <c r="M115">
        <v>147</v>
      </c>
      <c r="N115" s="3" t="str">
        <v>D</v>
      </c>
      <c r="O115" s="3">
        <v>32156.25</v>
      </c>
      <c r="AD115" s="63" t="s">
        <v>194</v>
      </c>
      <c r="AE115" s="3" t="s">
        <v>97</v>
      </c>
      <c r="AF115" s="4" t="s">
        <v>130</v>
      </c>
      <c r="AG115" s="3">
        <f>_xlfn.XLOOKUP(AD115, 數據!B$2:B$100, 數據!M$2:M$100)</f>
        <v>164</v>
      </c>
      <c r="AH115" s="3" t="s">
        <v>6</v>
      </c>
      <c r="AI115" s="63">
        <f>AG115*IF(AH115="G", 450, IF(AH115="D", 350, 0)) * IF(AF115="Y", 1.2, 1)*(INDEX(屬性克制表!$B$2:$T$20, MATCH(AE115, 屬性克制表!$A$2:$A$20, 0), MATCH($L$1, 屬性克制表!$B$1:$T$1, 0)) * INDEX(屬性克制表!$B$2:$T$20, MATCH(AE115, 屬性克制表!$A$2:$A$20, 0), MATCH($M$1, 屬性克制表!$B$1:$T$1, 0)))</f>
        <v>110208</v>
      </c>
    </row>
    <row r="116" spans="10:35">
      <c r="J116" t="str">
        <v>勾魂眼</v>
      </c>
      <c r="K116" t="str">
        <v>惡</v>
      </c>
      <c r="L116" t="str">
        <v>Y</v>
      </c>
      <c r="M116">
        <v>121</v>
      </c>
      <c r="N116" s="3" t="str">
        <v>D</v>
      </c>
      <c r="O116" s="3">
        <v>31762.5</v>
      </c>
      <c r="AD116" s="63" t="s">
        <v>194</v>
      </c>
      <c r="AE116" s="3" t="s">
        <v>45</v>
      </c>
      <c r="AF116" s="4" t="s">
        <v>131</v>
      </c>
      <c r="AG116" s="3">
        <f>_xlfn.XLOOKUP(AD116, 數據!B$2:B$100, 數據!M$2:M$100)</f>
        <v>164</v>
      </c>
      <c r="AH116" s="3" t="s">
        <v>6</v>
      </c>
      <c r="AI116" s="63">
        <f>AG116*IF(AH116="G", 450, IF(AH116="D", 350, 0)) * IF(AF116="Y", 1.2, 1)*(INDEX(屬性克制表!$B$2:$T$20, MATCH(AE116, 屬性克制表!$A$2:$A$20, 0), MATCH($L$1, 屬性克制表!$B$1:$T$1, 0)) * INDEX(屬性克制表!$B$2:$T$20, MATCH(AE116, 屬性克制表!$A$2:$A$20, 0), MATCH($M$1, 屬性克制表!$B$1:$T$1, 0)))</f>
        <v>57400</v>
      </c>
    </row>
    <row r="117" spans="10:35">
      <c r="J117" t="str">
        <v>水箭龜</v>
      </c>
      <c r="K117" t="str">
        <v>岩石</v>
      </c>
      <c r="L117" t="str">
        <v>N</v>
      </c>
      <c r="M117">
        <v>145</v>
      </c>
      <c r="N117" s="3" t="str">
        <v>D</v>
      </c>
      <c r="O117" s="3">
        <v>31718.75</v>
      </c>
      <c r="AD117" s="3" t="s">
        <v>257</v>
      </c>
      <c r="AE117" s="3" t="s">
        <v>70</v>
      </c>
      <c r="AF117" s="4" t="s">
        <v>130</v>
      </c>
      <c r="AG117" s="3">
        <f>_xlfn.XLOOKUP(AD117, 數據!B$2:B$100, 數據!M$2:M$100)</f>
        <v>189</v>
      </c>
      <c r="AH117" s="3" t="s">
        <v>6</v>
      </c>
      <c r="AI117" s="63">
        <f>AG117*IF(AH117="G", 450, IF(AH117="D", 350, 0)) * IF(AF117="Y", 1.2, 1)*(INDEX(屬性克制表!$B$2:$T$20, MATCH(AE117, 屬性克制表!$A$2:$A$20, 0), MATCH($L$1, 屬性克制表!$B$1:$T$1, 0)) * INDEX(屬性克制表!$B$2:$T$20, MATCH(AE117, 屬性克制表!$A$2:$A$20, 0), MATCH($M$1, 屬性克制表!$B$1:$T$1, 0)))</f>
        <v>79380</v>
      </c>
    </row>
    <row r="118" spans="10:35">
      <c r="J118" t="str">
        <v>水箭龜</v>
      </c>
      <c r="K118" t="str">
        <v>惡</v>
      </c>
      <c r="L118" t="str">
        <v>N</v>
      </c>
      <c r="M118">
        <v>145</v>
      </c>
      <c r="N118" s="3" t="str">
        <v>D</v>
      </c>
      <c r="O118" s="3">
        <v>31718.75</v>
      </c>
      <c r="AD118" s="3" t="s">
        <v>258</v>
      </c>
      <c r="AE118" s="3" t="s">
        <v>70</v>
      </c>
      <c r="AF118" s="4" t="s">
        <v>130</v>
      </c>
      <c r="AG118" s="3">
        <f>_xlfn.XLOOKUP(AD118, 數據!B$2:B$100, 數據!M$2:M$100)</f>
        <v>164</v>
      </c>
      <c r="AH118" s="3" t="s">
        <v>6</v>
      </c>
      <c r="AI118" s="63">
        <f>AG118*IF(AH118="G", 450, IF(AH118="D", 350, 0)) * IF(AF118="Y", 1.2, 1)*(INDEX(屬性克制表!$B$2:$T$20, MATCH(AE118, 屬性克制表!$A$2:$A$20, 0), MATCH($L$1, 屬性克制表!$B$1:$T$1, 0)) * INDEX(屬性克制表!$B$2:$T$20, MATCH(AE118, 屬性克制表!$A$2:$A$20, 0), MATCH($M$1, 屬性克制表!$B$1:$T$1, 0)))</f>
        <v>68880</v>
      </c>
    </row>
    <row r="119" spans="10:35">
      <c r="J119" t="str">
        <v>鋼鎧鴉</v>
      </c>
      <c r="K119" t="str">
        <v>地面</v>
      </c>
      <c r="L119" t="str">
        <v>N</v>
      </c>
      <c r="M119">
        <v>140</v>
      </c>
      <c r="N119" s="3" t="str">
        <v>D</v>
      </c>
      <c r="O119" s="3">
        <v>30625</v>
      </c>
      <c r="AD119" s="3" t="s">
        <v>258</v>
      </c>
      <c r="AE119" s="3" t="s">
        <v>71</v>
      </c>
      <c r="AF119" s="4" t="s">
        <v>131</v>
      </c>
      <c r="AG119" s="3">
        <f>_xlfn.XLOOKUP(AD119, 數據!B$2:B$100, 數據!M$2:M$100)</f>
        <v>164</v>
      </c>
      <c r="AH119" s="3" t="s">
        <v>6</v>
      </c>
      <c r="AI119" s="63">
        <f>AG119*IF(AH119="G", 450, IF(AH119="D", 350, 0)) * IF(AF119="Y", 1.2, 1)*(INDEX(屬性克制表!$B$2:$T$20, MATCH(AE119, 屬性克制表!$A$2:$A$20, 0), MATCH($L$1, 屬性克制表!$B$1:$T$1, 0)) * INDEX(屬性克制表!$B$2:$T$20, MATCH(AE119, 屬性克制表!$A$2:$A$20, 0), MATCH($M$1, 屬性克制表!$B$1:$T$1, 0)))</f>
        <v>57400</v>
      </c>
    </row>
    <row r="120" spans="10:35">
      <c r="J120" t="str">
        <v>藏飽栗鼠</v>
      </c>
      <c r="K120" t="str">
        <v>草</v>
      </c>
      <c r="L120" t="str">
        <v>N</v>
      </c>
      <c r="M120">
        <v>138</v>
      </c>
      <c r="N120" s="3" t="str">
        <v>D</v>
      </c>
      <c r="O120" s="3">
        <v>30187.5</v>
      </c>
      <c r="AD120" s="3" t="s">
        <v>260</v>
      </c>
      <c r="AE120" s="3" t="s">
        <v>36</v>
      </c>
      <c r="AF120" s="4" t="s">
        <v>130</v>
      </c>
      <c r="AG120" s="3">
        <f>_xlfn.XLOOKUP(AD120, 數據!B$2:B$100, 數據!M$2:M$100)</f>
        <v>156</v>
      </c>
      <c r="AH120" s="3" t="s">
        <v>6</v>
      </c>
      <c r="AI120" s="63">
        <f>AG120*IF(AH120="G", 450, IF(AH120="D", 350, 0)) * IF(AF120="Y", 1.2, 1)*(INDEX(屬性克制表!$B$2:$T$20, MATCH(AE120, 屬性克制表!$A$2:$A$20, 0), MATCH($L$1, 屬性克制表!$B$1:$T$1, 0)) * INDEX(屬性克制表!$B$2:$T$20, MATCH(AE120, 屬性克制表!$A$2:$A$20, 0), MATCH($M$1, 屬性克制表!$B$1:$T$1, 0)))</f>
        <v>40950</v>
      </c>
    </row>
    <row r="121" spans="10:35">
      <c r="J121" t="str">
        <v>藏飽栗鼠</v>
      </c>
      <c r="K121" t="str">
        <v>地面</v>
      </c>
      <c r="L121" t="str">
        <v>N</v>
      </c>
      <c r="M121">
        <v>138</v>
      </c>
      <c r="N121" s="3" t="str">
        <v>D</v>
      </c>
      <c r="O121" s="3">
        <v>30187.5</v>
      </c>
      <c r="AD121" s="3" t="s">
        <v>260</v>
      </c>
      <c r="AE121" s="3" t="s">
        <v>76</v>
      </c>
      <c r="AF121" s="4" t="s">
        <v>130</v>
      </c>
      <c r="AG121" s="3">
        <f>_xlfn.XLOOKUP(AD121, 數據!B$2:B$100, 數據!M$2:M$100)</f>
        <v>156</v>
      </c>
      <c r="AH121" s="3" t="s">
        <v>6</v>
      </c>
      <c r="AI121" s="63">
        <f>AG121*IF(AH121="G", 450, IF(AH121="D", 350, 0)) * IF(AF121="Y", 1.2, 1)*(INDEX(屬性克制表!$B$2:$T$20, MATCH(AE121, 屬性克制表!$A$2:$A$20, 0), MATCH($L$1, 屬性克制表!$B$1:$T$1, 0)) * INDEX(屬性克制表!$B$2:$T$20, MATCH(AE121, 屬性克制表!$A$2:$A$20, 0), MATCH($M$1, 屬性克制表!$B$1:$T$1, 0)))</f>
        <v>104832</v>
      </c>
    </row>
    <row r="122" spans="10:35">
      <c r="J122" t="str">
        <v>藏飽栗鼠</v>
      </c>
      <c r="K122" t="str">
        <v>惡</v>
      </c>
      <c r="L122" t="str">
        <v>N</v>
      </c>
      <c r="M122">
        <v>138</v>
      </c>
      <c r="N122" s="3" t="str">
        <v>D</v>
      </c>
      <c r="O122" s="3">
        <v>30187.5</v>
      </c>
      <c r="AD122" s="3" t="s">
        <v>262</v>
      </c>
      <c r="AE122" s="3" t="s">
        <v>39</v>
      </c>
      <c r="AF122" s="4" t="s">
        <v>130</v>
      </c>
      <c r="AG122" s="3">
        <f>_xlfn.XLOOKUP(AD122, 數據!B$2:B$100, 數據!M$2:M$100)</f>
        <v>190</v>
      </c>
      <c r="AH122" s="3" t="s">
        <v>6</v>
      </c>
      <c r="AI122" s="63">
        <f>AG122*IF(AH122="G", 450, IF(AH122="D", 350, 0)) * IF(AF122="Y", 1.2, 1)*(INDEX(屬性克制表!$B$2:$T$20, MATCH(AE122, 屬性克制表!$A$2:$A$20, 0), MATCH($L$1, 屬性克制表!$B$1:$T$1, 0)) * INDEX(屬性克制表!$B$2:$T$20, MATCH(AE122, 屬性克制表!$A$2:$A$20, 0), MATCH($M$1, 屬性克制表!$B$1:$T$1, 0)))</f>
        <v>49875</v>
      </c>
    </row>
    <row r="123" spans="10:35">
      <c r="J123" t="str">
        <v>月亮伊布</v>
      </c>
      <c r="K123" t="str">
        <v>惡</v>
      </c>
      <c r="L123" t="str">
        <v>Y</v>
      </c>
      <c r="M123">
        <v>111</v>
      </c>
      <c r="N123" s="3" t="str">
        <v>D</v>
      </c>
      <c r="O123" s="3">
        <v>29137.5</v>
      </c>
      <c r="AD123" s="3" t="s">
        <v>262</v>
      </c>
      <c r="AE123" s="3" t="s">
        <v>75</v>
      </c>
      <c r="AF123" s="4" t="s">
        <v>131</v>
      </c>
      <c r="AG123" s="3">
        <f>_xlfn.XLOOKUP(AD123, 數據!B$2:B$100, 數據!M$2:M$100)</f>
        <v>190</v>
      </c>
      <c r="AH123" s="3" t="s">
        <v>6</v>
      </c>
      <c r="AI123" s="63">
        <f>AG123*IF(AH123="G", 450, IF(AH123="D", 350, 0)) * IF(AF123="Y", 1.2, 1)*(INDEX(屬性克制表!$B$2:$T$20, MATCH(AE123, 屬性克制表!$A$2:$A$20, 0), MATCH($L$1, 屬性克制表!$B$1:$T$1, 0)) * INDEX(屬性克制表!$B$2:$T$20, MATCH(AE123, 屬性克制表!$A$2:$A$20, 0), MATCH($M$1, 屬性克制表!$B$1:$T$1, 0)))</f>
        <v>41562.5</v>
      </c>
    </row>
    <row r="124" spans="10:35">
      <c r="J124" t="str">
        <v>壺壺</v>
      </c>
      <c r="K124" t="str">
        <v>蟲</v>
      </c>
      <c r="L124" t="str">
        <v>Y</v>
      </c>
      <c r="M124">
        <v>17</v>
      </c>
      <c r="N124" s="3" t="str">
        <v>D</v>
      </c>
      <c r="O124" s="3">
        <v>7140</v>
      </c>
      <c r="AD124" s="3" t="s">
        <v>264</v>
      </c>
      <c r="AE124" s="3" t="s">
        <v>45</v>
      </c>
      <c r="AF124" s="4" t="s">
        <v>130</v>
      </c>
      <c r="AG124" s="3">
        <f>_xlfn.XLOOKUP(AD124, 數據!B$2:B$100, 數據!M$2:M$100)</f>
        <v>194</v>
      </c>
      <c r="AH124" s="3" t="s">
        <v>6</v>
      </c>
      <c r="AI124" s="63">
        <f>AG124*IF(AH124="G", 450, IF(AH124="D", 350, 0)) * IF(AF124="Y", 1.2, 1)*(INDEX(屬性克制表!$B$2:$T$20, MATCH(AE124, 屬性克制表!$A$2:$A$20, 0), MATCH($L$1, 屬性克制表!$B$1:$T$1, 0)) * INDEX(屬性克制表!$B$2:$T$20, MATCH(AE124, 屬性克制表!$A$2:$A$20, 0), MATCH($M$1, 屬性克制表!$B$1:$T$1, 0)))</f>
        <v>81480</v>
      </c>
    </row>
    <row r="125" spans="10:35">
      <c r="J125" t="str">
        <v>壺壺</v>
      </c>
      <c r="K125" t="str">
        <v>岩石</v>
      </c>
      <c r="L125" t="str">
        <v>Y</v>
      </c>
      <c r="M125">
        <v>17</v>
      </c>
      <c r="N125" s="3" t="str">
        <v>D</v>
      </c>
      <c r="O125" s="3">
        <v>4462.5</v>
      </c>
      <c r="AD125" s="3" t="s">
        <v>264</v>
      </c>
      <c r="AE125" s="3" t="s">
        <v>74</v>
      </c>
      <c r="AF125" s="4" t="s">
        <v>131</v>
      </c>
      <c r="AG125" s="3">
        <f>_xlfn.XLOOKUP(AD125, 數據!B$2:B$100, 數據!M$2:M$100)</f>
        <v>194</v>
      </c>
      <c r="AH125" s="3" t="s">
        <v>6</v>
      </c>
      <c r="AI125" s="63">
        <f>AG125*IF(AH125="G", 450, IF(AH125="D", 350, 0)) * IF(AF125="Y", 1.2, 1)*(INDEX(屬性克制表!$B$2:$T$20, MATCH(AE125, 屬性克制表!$A$2:$A$20, 0), MATCH($L$1, 屬性克制表!$B$1:$T$1, 0)) * INDEX(屬性克制表!$B$2:$T$20, MATCH(AE125, 屬性克制表!$A$2:$A$20, 0), MATCH($M$1, 屬性克制表!$B$1:$T$1, 0)))</f>
        <v>67900</v>
      </c>
    </row>
  </sheetData>
  <sortState xmlns:xlrd2="http://schemas.microsoft.com/office/spreadsheetml/2017/richdata2" ref="Y3:AB46">
    <sortCondition descending="1" ref="AB3:AB46"/>
  </sortState>
  <mergeCells count="4">
    <mergeCell ref="E1:F1"/>
    <mergeCell ref="G1:H1"/>
    <mergeCell ref="C1:D1"/>
    <mergeCell ref="A1:B1"/>
  </mergeCells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D89957-3BC0-4853-B0FA-651C0DCF7C44}">
          <x14:formula1>
            <xm:f>屬性克制表!$A$2:$A$20</xm:f>
          </x14:formula1>
          <xm:sqref>C1 AL1 AN1 AP1 AR1 G1 I1 E1 A1 L1:M1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DC968-0EDB-4F2F-80D6-AEAFFD32C35C}">
  <sheetPr codeName="工作表2"/>
  <dimension ref="A1:EJ88"/>
  <sheetViews>
    <sheetView zoomScale="70" zoomScaleNormal="70" workbookViewId="0">
      <pane ySplit="1" topLeftCell="A2" activePane="bottomLeft" state="frozen"/>
      <selection pane="bottomLeft" activeCell="O7" sqref="O7"/>
    </sheetView>
  </sheetViews>
  <sheetFormatPr defaultRowHeight="17"/>
  <cols>
    <col min="2" max="2" width="13.90625" style="48" bestFit="1" customWidth="1"/>
    <col min="3" max="3" width="12.36328125" style="40" customWidth="1"/>
    <col min="4" max="4" width="12.36328125" style="3" customWidth="1"/>
    <col min="5" max="7" width="9.1796875" style="3" customWidth="1"/>
    <col min="8" max="8" width="9.1796875" style="41" customWidth="1"/>
    <col min="9" max="12" width="9.1796875" style="3" customWidth="1"/>
    <col min="13" max="13" width="8.81640625" style="40"/>
    <col min="14" max="15" width="8.81640625" style="3"/>
    <col min="16" max="16" width="8.81640625" style="47"/>
    <col min="18" max="18" width="39.08984375" bestFit="1" customWidth="1"/>
    <col min="19" max="19" width="26.1796875" bestFit="1" customWidth="1"/>
  </cols>
  <sheetData>
    <row r="1" spans="1:140">
      <c r="B1" s="60"/>
      <c r="C1" s="113" t="s">
        <v>40</v>
      </c>
      <c r="D1" s="114"/>
      <c r="E1" s="113" t="s">
        <v>41</v>
      </c>
      <c r="F1" s="114"/>
      <c r="G1" s="114"/>
      <c r="H1" s="115"/>
      <c r="I1" s="48" t="s">
        <v>134</v>
      </c>
      <c r="J1" s="48" t="s">
        <v>135</v>
      </c>
      <c r="K1" s="48" t="s">
        <v>136</v>
      </c>
      <c r="L1" s="48" t="s">
        <v>137</v>
      </c>
      <c r="M1" s="40" t="s">
        <v>78</v>
      </c>
      <c r="N1" s="3" t="s">
        <v>79</v>
      </c>
      <c r="O1" s="3" t="s">
        <v>89</v>
      </c>
      <c r="P1" s="47" t="s">
        <v>93</v>
      </c>
      <c r="R1" s="77" t="s">
        <v>138</v>
      </c>
      <c r="S1" s="77" t="s">
        <v>139</v>
      </c>
    </row>
    <row r="2" spans="1:140" s="44" customFormat="1">
      <c r="A2" s="52">
        <v>242</v>
      </c>
      <c r="B2" s="48" t="s">
        <v>63</v>
      </c>
      <c r="C2" s="53" t="s">
        <v>74</v>
      </c>
      <c r="D2" s="54" t="s">
        <v>118</v>
      </c>
      <c r="E2" s="53" t="s">
        <v>74</v>
      </c>
      <c r="F2" s="54" t="s">
        <v>47</v>
      </c>
      <c r="G2" s="54"/>
      <c r="H2" s="55"/>
      <c r="I2" s="48">
        <v>44</v>
      </c>
      <c r="J2" s="48">
        <v>11</v>
      </c>
      <c r="K2" s="48">
        <v>15</v>
      </c>
      <c r="L2" s="48">
        <v>15</v>
      </c>
      <c r="M2" s="53">
        <v>113</v>
      </c>
      <c r="N2" s="54">
        <v>149</v>
      </c>
      <c r="O2" s="54">
        <v>414</v>
      </c>
      <c r="P2" s="56">
        <f t="shared" ref="P2:P67" si="0">N2*O2/1000</f>
        <v>61.686</v>
      </c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</row>
    <row r="3" spans="1:140" s="57" customFormat="1">
      <c r="A3" s="52">
        <v>889</v>
      </c>
      <c r="B3" s="48" t="s">
        <v>88</v>
      </c>
      <c r="C3" s="53" t="s">
        <v>71</v>
      </c>
      <c r="D3" s="54" t="s">
        <v>70</v>
      </c>
      <c r="E3" s="53"/>
      <c r="F3" s="54"/>
      <c r="G3" s="54"/>
      <c r="H3" s="55"/>
      <c r="I3" s="48">
        <v>47</v>
      </c>
      <c r="J3" s="48">
        <v>15</v>
      </c>
      <c r="K3" s="48">
        <v>15</v>
      </c>
      <c r="L3" s="48">
        <v>15</v>
      </c>
      <c r="M3" s="53">
        <v>218</v>
      </c>
      <c r="N3" s="54">
        <v>253</v>
      </c>
      <c r="O3" s="54">
        <v>170</v>
      </c>
      <c r="P3" s="56">
        <f>N3*O3/1000+60/1000</f>
        <v>43.07</v>
      </c>
      <c r="Q3" s="49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</row>
    <row r="4" spans="1:140" s="57" customFormat="1">
      <c r="A4" s="52">
        <v>143</v>
      </c>
      <c r="B4" s="48" t="s">
        <v>85</v>
      </c>
      <c r="C4" s="53" t="s">
        <v>74</v>
      </c>
      <c r="D4" s="54" t="s">
        <v>118</v>
      </c>
      <c r="E4" s="53"/>
      <c r="F4" s="54"/>
      <c r="G4" s="54"/>
      <c r="H4" s="55"/>
      <c r="I4" s="48">
        <v>30</v>
      </c>
      <c r="J4" s="48">
        <v>14</v>
      </c>
      <c r="K4" s="48">
        <v>15</v>
      </c>
      <c r="L4" s="48">
        <v>15</v>
      </c>
      <c r="M4" s="53">
        <v>149</v>
      </c>
      <c r="N4" s="54">
        <v>134</v>
      </c>
      <c r="O4" s="54">
        <v>252</v>
      </c>
      <c r="P4" s="56">
        <f t="shared" si="0"/>
        <v>33.768000000000001</v>
      </c>
      <c r="Q4" s="49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</row>
    <row r="5" spans="1:140" s="44" customFormat="1">
      <c r="A5" s="50">
        <v>245</v>
      </c>
      <c r="B5" s="45" t="s">
        <v>23</v>
      </c>
      <c r="C5" s="42" t="s">
        <v>36</v>
      </c>
      <c r="D5" s="39" t="s">
        <v>118</v>
      </c>
      <c r="E5" s="42" t="s">
        <v>36</v>
      </c>
      <c r="F5" s="39"/>
      <c r="G5" s="39"/>
      <c r="H5" s="43"/>
      <c r="I5" s="45">
        <v>35</v>
      </c>
      <c r="J5" s="45">
        <v>14</v>
      </c>
      <c r="K5" s="45">
        <v>14</v>
      </c>
      <c r="L5" s="45">
        <v>15</v>
      </c>
      <c r="M5" s="42">
        <v>147</v>
      </c>
      <c r="N5" s="39">
        <v>190</v>
      </c>
      <c r="O5" s="39">
        <v>182</v>
      </c>
      <c r="P5" s="51">
        <f t="shared" si="0"/>
        <v>34.58</v>
      </c>
      <c r="Q5" s="49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</row>
    <row r="6" spans="1:140" s="44" customFormat="1">
      <c r="A6" s="62">
        <v>890</v>
      </c>
      <c r="B6" s="53" t="s">
        <v>133</v>
      </c>
      <c r="C6" s="53" t="s">
        <v>45</v>
      </c>
      <c r="D6" s="54" t="s">
        <v>80</v>
      </c>
      <c r="E6" s="53"/>
      <c r="F6" s="54"/>
      <c r="G6" s="54"/>
      <c r="H6" s="55"/>
      <c r="I6" s="48">
        <v>39.5</v>
      </c>
      <c r="J6" s="48">
        <v>15</v>
      </c>
      <c r="K6" s="48">
        <v>15</v>
      </c>
      <c r="L6" s="48">
        <v>14</v>
      </c>
      <c r="M6" s="53">
        <v>231</v>
      </c>
      <c r="N6" s="54">
        <v>163</v>
      </c>
      <c r="O6" s="55">
        <v>222</v>
      </c>
      <c r="P6" s="66">
        <f>N6*O6/1000</f>
        <v>36.186</v>
      </c>
      <c r="Q6" s="49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</row>
    <row r="7" spans="1:140" s="57" customFormat="1">
      <c r="A7" s="52">
        <v>144</v>
      </c>
      <c r="B7" s="48" t="s">
        <v>55</v>
      </c>
      <c r="C7" s="53" t="s">
        <v>98</v>
      </c>
      <c r="D7" s="54" t="s">
        <v>43</v>
      </c>
      <c r="E7" s="53" t="s">
        <v>76</v>
      </c>
      <c r="F7" s="54"/>
      <c r="G7" s="54"/>
      <c r="H7" s="55"/>
      <c r="I7" s="48">
        <v>33.5</v>
      </c>
      <c r="J7" s="48">
        <v>15</v>
      </c>
      <c r="K7" s="48">
        <v>12</v>
      </c>
      <c r="L7" s="48">
        <v>11</v>
      </c>
      <c r="M7" s="53">
        <v>155</v>
      </c>
      <c r="N7" s="54">
        <v>186</v>
      </c>
      <c r="O7" s="54">
        <v>164</v>
      </c>
      <c r="P7" s="56">
        <f>N7*O7/1000</f>
        <v>30.504000000000001</v>
      </c>
      <c r="Q7" s="49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</row>
    <row r="8" spans="1:140" s="44" customFormat="1">
      <c r="A8" s="50">
        <v>131</v>
      </c>
      <c r="B8" s="45" t="s">
        <v>86</v>
      </c>
      <c r="C8" s="42" t="s">
        <v>36</v>
      </c>
      <c r="D8" s="39" t="s">
        <v>76</v>
      </c>
      <c r="E8" s="42"/>
      <c r="F8" s="39"/>
      <c r="G8" s="39"/>
      <c r="H8" s="43"/>
      <c r="I8" s="45">
        <v>40</v>
      </c>
      <c r="J8" s="45">
        <v>14</v>
      </c>
      <c r="K8" s="45">
        <v>13</v>
      </c>
      <c r="L8" s="45">
        <v>15</v>
      </c>
      <c r="M8" s="42">
        <v>141</v>
      </c>
      <c r="N8" s="39">
        <v>147</v>
      </c>
      <c r="O8" s="39">
        <v>230</v>
      </c>
      <c r="P8" s="51">
        <f t="shared" si="0"/>
        <v>33.81</v>
      </c>
      <c r="Q8" s="49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</row>
    <row r="9" spans="1:140">
      <c r="A9" s="49">
        <v>380</v>
      </c>
      <c r="B9" s="47" t="s">
        <v>82</v>
      </c>
      <c r="C9" s="40" t="s">
        <v>45</v>
      </c>
      <c r="D9" s="3" t="s">
        <v>47</v>
      </c>
      <c r="E9" s="40" t="s">
        <v>44</v>
      </c>
      <c r="F9" s="3" t="s">
        <v>47</v>
      </c>
      <c r="I9" s="47">
        <v>24.5</v>
      </c>
      <c r="J9" s="47">
        <v>12</v>
      </c>
      <c r="K9" s="47">
        <v>10</v>
      </c>
      <c r="L9" s="47">
        <v>11</v>
      </c>
      <c r="M9" s="40">
        <v>158</v>
      </c>
      <c r="N9" s="3">
        <v>169</v>
      </c>
      <c r="O9" s="3">
        <v>132</v>
      </c>
      <c r="P9" s="46">
        <f t="shared" si="0"/>
        <v>22.308</v>
      </c>
      <c r="Q9" s="49"/>
    </row>
    <row r="10" spans="1:140" s="57" customFormat="1">
      <c r="A10" s="52">
        <v>888</v>
      </c>
      <c r="B10" s="48" t="s">
        <v>87</v>
      </c>
      <c r="C10" s="53" t="s">
        <v>71</v>
      </c>
      <c r="D10" s="54" t="s">
        <v>99</v>
      </c>
      <c r="E10" s="53"/>
      <c r="F10" s="54"/>
      <c r="G10" s="54"/>
      <c r="H10" s="55"/>
      <c r="I10" s="48">
        <v>50</v>
      </c>
      <c r="J10" s="48">
        <v>15</v>
      </c>
      <c r="K10" s="48">
        <v>14</v>
      </c>
      <c r="L10" s="48">
        <v>15</v>
      </c>
      <c r="M10" s="53">
        <v>291</v>
      </c>
      <c r="N10" s="54">
        <v>213</v>
      </c>
      <c r="O10" s="54">
        <v>173</v>
      </c>
      <c r="P10" s="56">
        <f t="shared" si="0"/>
        <v>36.848999999999997</v>
      </c>
      <c r="Q10" s="49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</row>
    <row r="11" spans="1:140">
      <c r="A11" s="49">
        <v>381</v>
      </c>
      <c r="B11" s="48" t="s">
        <v>81</v>
      </c>
      <c r="C11" s="53" t="s">
        <v>45</v>
      </c>
      <c r="D11" s="54" t="s">
        <v>47</v>
      </c>
      <c r="E11" s="40" t="s">
        <v>44</v>
      </c>
      <c r="F11" s="3" t="s">
        <v>47</v>
      </c>
      <c r="I11" s="47">
        <v>38.5</v>
      </c>
      <c r="J11" s="47">
        <v>15</v>
      </c>
      <c r="K11" s="47">
        <v>14</v>
      </c>
      <c r="L11" s="47">
        <v>13</v>
      </c>
      <c r="M11" s="40">
        <v>221</v>
      </c>
      <c r="N11" s="3">
        <v>176</v>
      </c>
      <c r="O11" s="3">
        <v>158</v>
      </c>
      <c r="P11" s="46">
        <f t="shared" si="0"/>
        <v>27.808</v>
      </c>
      <c r="Q11" s="49"/>
    </row>
    <row r="12" spans="1:140" s="57" customFormat="1">
      <c r="A12" s="52">
        <v>376</v>
      </c>
      <c r="B12" s="47" t="s">
        <v>51</v>
      </c>
      <c r="C12" s="40" t="s">
        <v>71</v>
      </c>
      <c r="D12" s="3" t="s">
        <v>47</v>
      </c>
      <c r="E12" s="53" t="s">
        <v>71</v>
      </c>
      <c r="F12" s="54" t="s">
        <v>47</v>
      </c>
      <c r="G12" s="54" t="s">
        <v>46</v>
      </c>
      <c r="H12" s="55"/>
      <c r="I12" s="48">
        <v>40</v>
      </c>
      <c r="J12" s="48">
        <v>15</v>
      </c>
      <c r="K12" s="48">
        <v>12</v>
      </c>
      <c r="L12" s="48">
        <v>14</v>
      </c>
      <c r="M12" s="53">
        <v>214</v>
      </c>
      <c r="N12" s="54">
        <v>189</v>
      </c>
      <c r="O12" s="54">
        <v>161</v>
      </c>
      <c r="P12" s="56">
        <f t="shared" si="0"/>
        <v>30.428999999999998</v>
      </c>
      <c r="Q12" s="49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</row>
    <row r="13" spans="1:140">
      <c r="A13" s="49">
        <v>244</v>
      </c>
      <c r="B13" s="48" t="s">
        <v>8</v>
      </c>
      <c r="C13" s="53" t="s">
        <v>42</v>
      </c>
      <c r="D13" s="54" t="s">
        <v>118</v>
      </c>
      <c r="E13" s="40" t="s">
        <v>42</v>
      </c>
      <c r="I13" s="47">
        <v>27.5</v>
      </c>
      <c r="J13" s="47">
        <v>15</v>
      </c>
      <c r="K13" s="47">
        <v>13</v>
      </c>
      <c r="L13" s="47">
        <v>12</v>
      </c>
      <c r="M13" s="40">
        <v>175</v>
      </c>
      <c r="N13" s="3">
        <v>128</v>
      </c>
      <c r="O13" s="3">
        <v>184</v>
      </c>
      <c r="P13" s="46">
        <f t="shared" si="0"/>
        <v>23.552</v>
      </c>
      <c r="Q13" s="49"/>
    </row>
    <row r="14" spans="1:140" s="57" customFormat="1">
      <c r="A14" s="52">
        <v>823</v>
      </c>
      <c r="B14" s="47" t="s">
        <v>61</v>
      </c>
      <c r="C14" s="40" t="s">
        <v>71</v>
      </c>
      <c r="D14" s="3" t="s">
        <v>43</v>
      </c>
      <c r="E14" s="53" t="s">
        <v>71</v>
      </c>
      <c r="F14" s="54" t="s">
        <v>43</v>
      </c>
      <c r="G14" s="54" t="s">
        <v>75</v>
      </c>
      <c r="H14" s="55"/>
      <c r="I14" s="48">
        <v>43</v>
      </c>
      <c r="J14" s="48">
        <v>11</v>
      </c>
      <c r="K14" s="48">
        <v>14</v>
      </c>
      <c r="L14" s="48">
        <v>15</v>
      </c>
      <c r="M14" s="53">
        <v>140</v>
      </c>
      <c r="N14" s="54">
        <v>165</v>
      </c>
      <c r="O14" s="54">
        <v>190</v>
      </c>
      <c r="P14" s="56">
        <f t="shared" si="0"/>
        <v>31.35</v>
      </c>
      <c r="Q14" s="49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</row>
    <row r="15" spans="1:140">
      <c r="A15" s="49">
        <v>615</v>
      </c>
      <c r="B15" s="48" t="s">
        <v>60</v>
      </c>
      <c r="C15" s="53" t="s">
        <v>76</v>
      </c>
      <c r="D15" s="54" t="s">
        <v>118</v>
      </c>
      <c r="E15" s="40" t="s">
        <v>76</v>
      </c>
      <c r="I15" s="47">
        <v>33</v>
      </c>
      <c r="J15" s="47">
        <v>15</v>
      </c>
      <c r="K15" s="47">
        <v>14</v>
      </c>
      <c r="L15" s="47">
        <v>13</v>
      </c>
      <c r="M15" s="40">
        <v>153</v>
      </c>
      <c r="N15" s="3">
        <v>173</v>
      </c>
      <c r="O15" s="3">
        <v>152</v>
      </c>
      <c r="P15" s="46">
        <f t="shared" si="0"/>
        <v>26.295999999999999</v>
      </c>
      <c r="Q15" s="49"/>
    </row>
    <row r="16" spans="1:140" s="57" customFormat="1">
      <c r="A16" s="52">
        <v>820</v>
      </c>
      <c r="B16" s="47" t="s">
        <v>67</v>
      </c>
      <c r="C16" s="40" t="s">
        <v>74</v>
      </c>
      <c r="D16" s="3" t="s">
        <v>118</v>
      </c>
      <c r="E16" s="53" t="s">
        <v>74</v>
      </c>
      <c r="F16" s="54" t="s">
        <v>75</v>
      </c>
      <c r="G16" s="54" t="s">
        <v>37</v>
      </c>
      <c r="H16" s="55" t="s">
        <v>35</v>
      </c>
      <c r="I16" s="48">
        <v>40</v>
      </c>
      <c r="J16" s="48">
        <v>15</v>
      </c>
      <c r="K16" s="48">
        <v>15</v>
      </c>
      <c r="L16" s="48">
        <v>15</v>
      </c>
      <c r="M16" s="53">
        <v>138</v>
      </c>
      <c r="N16" s="54">
        <v>135</v>
      </c>
      <c r="O16" s="54">
        <v>217</v>
      </c>
      <c r="P16" s="56">
        <f t="shared" si="0"/>
        <v>29.295000000000002</v>
      </c>
      <c r="Q16" s="49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</row>
    <row r="17" spans="1:139">
      <c r="A17" s="49">
        <v>243</v>
      </c>
      <c r="B17" s="48" t="s">
        <v>64</v>
      </c>
      <c r="C17" s="53" t="s">
        <v>77</v>
      </c>
      <c r="D17" s="54" t="s">
        <v>118</v>
      </c>
      <c r="E17" s="40" t="s">
        <v>77</v>
      </c>
      <c r="I17" s="47">
        <v>36</v>
      </c>
      <c r="J17" s="47">
        <v>13</v>
      </c>
      <c r="K17" s="47">
        <v>15</v>
      </c>
      <c r="L17" s="47">
        <v>15</v>
      </c>
      <c r="M17" s="40">
        <v>194</v>
      </c>
      <c r="N17" s="3">
        <v>161</v>
      </c>
      <c r="O17" s="3">
        <v>170</v>
      </c>
      <c r="P17" s="46">
        <f t="shared" si="0"/>
        <v>27.37</v>
      </c>
      <c r="Q17" s="49"/>
    </row>
    <row r="18" spans="1:139" s="57" customFormat="1">
      <c r="A18" s="52">
        <v>892</v>
      </c>
      <c r="B18" s="47" t="s">
        <v>90</v>
      </c>
      <c r="C18" s="40" t="s">
        <v>94</v>
      </c>
      <c r="D18" s="3" t="s">
        <v>37</v>
      </c>
      <c r="E18" s="53" t="s">
        <v>70</v>
      </c>
      <c r="F18" s="54" t="s">
        <v>37</v>
      </c>
      <c r="G18" s="54"/>
      <c r="H18" s="55"/>
      <c r="I18" s="48">
        <v>40</v>
      </c>
      <c r="J18" s="48">
        <v>12</v>
      </c>
      <c r="K18" s="48">
        <v>13</v>
      </c>
      <c r="L18" s="48">
        <v>13</v>
      </c>
      <c r="M18" s="53">
        <v>210</v>
      </c>
      <c r="N18" s="54">
        <v>150</v>
      </c>
      <c r="O18" s="54">
        <v>188</v>
      </c>
      <c r="P18" s="56">
        <f t="shared" si="0"/>
        <v>28.2</v>
      </c>
      <c r="Q18" s="49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</row>
    <row r="19" spans="1:139">
      <c r="A19" s="49">
        <v>892</v>
      </c>
      <c r="B19" s="48" t="s">
        <v>18</v>
      </c>
      <c r="C19" s="53" t="s">
        <v>94</v>
      </c>
      <c r="D19" s="54" t="s">
        <v>36</v>
      </c>
      <c r="E19" s="40" t="s">
        <v>70</v>
      </c>
      <c r="F19" s="3" t="s">
        <v>36</v>
      </c>
      <c r="I19" s="48">
        <v>40</v>
      </c>
      <c r="J19" s="48">
        <v>12</v>
      </c>
      <c r="K19" s="48">
        <v>13</v>
      </c>
      <c r="L19" s="48">
        <v>13</v>
      </c>
      <c r="M19" s="53">
        <v>210</v>
      </c>
      <c r="N19" s="54">
        <v>150</v>
      </c>
      <c r="O19" s="54">
        <v>188</v>
      </c>
      <c r="P19" s="46">
        <f t="shared" si="0"/>
        <v>28.2</v>
      </c>
      <c r="Q19" s="49"/>
    </row>
    <row r="20" spans="1:139" s="57" customFormat="1">
      <c r="A20" s="52">
        <v>9</v>
      </c>
      <c r="B20" s="47" t="s">
        <v>25</v>
      </c>
      <c r="C20" s="40" t="s">
        <v>36</v>
      </c>
      <c r="D20" s="3" t="s">
        <v>118</v>
      </c>
      <c r="E20" s="53" t="s">
        <v>36</v>
      </c>
      <c r="F20" s="54" t="s">
        <v>37</v>
      </c>
      <c r="G20" s="54" t="s">
        <v>39</v>
      </c>
      <c r="H20" s="55"/>
      <c r="I20" s="48">
        <v>40</v>
      </c>
      <c r="J20" s="48">
        <v>13</v>
      </c>
      <c r="K20" s="48">
        <v>15</v>
      </c>
      <c r="L20" s="48">
        <v>14</v>
      </c>
      <c r="M20" s="53">
        <v>145</v>
      </c>
      <c r="N20" s="54">
        <v>175</v>
      </c>
      <c r="O20" s="54">
        <v>159</v>
      </c>
      <c r="P20" s="56">
        <f t="shared" si="0"/>
        <v>27.824999999999999</v>
      </c>
      <c r="Q20" s="49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</row>
    <row r="21" spans="1:139">
      <c r="A21" s="49">
        <v>145</v>
      </c>
      <c r="B21" s="48" t="s">
        <v>56</v>
      </c>
      <c r="C21" s="53" t="s">
        <v>77</v>
      </c>
      <c r="D21" s="54" t="s">
        <v>43</v>
      </c>
      <c r="E21" s="40" t="s">
        <v>77</v>
      </c>
      <c r="F21" s="3" t="s">
        <v>43</v>
      </c>
      <c r="I21" s="47">
        <v>35</v>
      </c>
      <c r="J21" s="47">
        <v>14</v>
      </c>
      <c r="K21" s="47">
        <v>14</v>
      </c>
      <c r="L21" s="47">
        <v>14</v>
      </c>
      <c r="M21" s="40">
        <v>203</v>
      </c>
      <c r="N21" s="3">
        <v>151</v>
      </c>
      <c r="O21" s="3">
        <v>168</v>
      </c>
      <c r="P21" s="46">
        <f t="shared" si="0"/>
        <v>25.367999999999999</v>
      </c>
      <c r="Q21" s="49"/>
    </row>
    <row r="22" spans="1:139" s="57" customFormat="1">
      <c r="A22" s="52">
        <v>812</v>
      </c>
      <c r="B22" s="47" t="s">
        <v>91</v>
      </c>
      <c r="C22" s="40" t="s">
        <v>35</v>
      </c>
      <c r="D22" s="3" t="s">
        <v>118</v>
      </c>
      <c r="E22" s="53" t="s">
        <v>35</v>
      </c>
      <c r="F22" s="54"/>
      <c r="G22" s="54"/>
      <c r="H22" s="55"/>
      <c r="I22" s="48">
        <v>40</v>
      </c>
      <c r="J22" s="48">
        <v>15</v>
      </c>
      <c r="K22" s="48">
        <v>13</v>
      </c>
      <c r="L22" s="48">
        <v>15</v>
      </c>
      <c r="M22" s="53">
        <v>200</v>
      </c>
      <c r="N22" s="54">
        <v>143</v>
      </c>
      <c r="O22" s="54">
        <v>189</v>
      </c>
      <c r="P22" s="56">
        <f t="shared" si="0"/>
        <v>27.027000000000001</v>
      </c>
      <c r="Q22" s="49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</row>
    <row r="23" spans="1:139">
      <c r="A23" s="49">
        <v>146</v>
      </c>
      <c r="B23" s="48" t="s">
        <v>57</v>
      </c>
      <c r="C23" s="53" t="s">
        <v>42</v>
      </c>
      <c r="D23" s="54" t="s">
        <v>43</v>
      </c>
      <c r="E23" s="40" t="s">
        <v>42</v>
      </c>
      <c r="F23" s="3" t="s">
        <v>43</v>
      </c>
      <c r="I23" s="47">
        <v>33.5</v>
      </c>
      <c r="J23" s="47">
        <v>15</v>
      </c>
      <c r="K23" s="47">
        <v>13</v>
      </c>
      <c r="L23" s="47">
        <v>10</v>
      </c>
      <c r="M23" s="40">
        <v>200</v>
      </c>
      <c r="N23" s="3">
        <v>146</v>
      </c>
      <c r="O23" s="3">
        <v>163</v>
      </c>
      <c r="P23" s="46">
        <f t="shared" si="0"/>
        <v>23.797999999999998</v>
      </c>
      <c r="Q23" s="49"/>
    </row>
    <row r="24" spans="1:139" s="57" customFormat="1">
      <c r="A24" s="52">
        <v>766</v>
      </c>
      <c r="B24" s="47" t="s">
        <v>66</v>
      </c>
      <c r="C24" s="40" t="s">
        <v>70</v>
      </c>
      <c r="D24" s="3" t="s">
        <v>118</v>
      </c>
      <c r="E24" s="53" t="s">
        <v>70</v>
      </c>
      <c r="F24" s="54" t="s">
        <v>74</v>
      </c>
      <c r="G24" s="54"/>
      <c r="H24" s="55"/>
      <c r="I24" s="48">
        <v>36</v>
      </c>
      <c r="J24" s="48">
        <v>15</v>
      </c>
      <c r="K24" s="48">
        <v>11</v>
      </c>
      <c r="L24" s="48">
        <v>15</v>
      </c>
      <c r="M24" s="53">
        <v>181</v>
      </c>
      <c r="N24" s="54">
        <v>131</v>
      </c>
      <c r="O24" s="54">
        <v>184</v>
      </c>
      <c r="P24" s="56">
        <f t="shared" si="0"/>
        <v>24.103999999999999</v>
      </c>
      <c r="Q24" s="49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</row>
    <row r="25" spans="1:139">
      <c r="A25" s="49">
        <v>3</v>
      </c>
      <c r="B25" s="48" t="s">
        <v>33</v>
      </c>
      <c r="C25" s="53" t="s">
        <v>35</v>
      </c>
      <c r="D25" s="54" t="s">
        <v>80</v>
      </c>
      <c r="E25" s="40" t="s">
        <v>35</v>
      </c>
      <c r="I25" s="47">
        <v>40</v>
      </c>
      <c r="J25" s="47">
        <v>4</v>
      </c>
      <c r="K25" s="47">
        <v>9</v>
      </c>
      <c r="L25" s="47">
        <v>3</v>
      </c>
      <c r="M25" s="40">
        <v>159</v>
      </c>
      <c r="N25" s="3">
        <v>156</v>
      </c>
      <c r="O25" s="3">
        <v>152</v>
      </c>
      <c r="P25" s="46">
        <f t="shared" si="0"/>
        <v>23.712</v>
      </c>
      <c r="Q25" s="49"/>
    </row>
    <row r="26" spans="1:139" s="57" customFormat="1">
      <c r="A26" s="52">
        <v>832</v>
      </c>
      <c r="B26" s="47" t="s">
        <v>68</v>
      </c>
      <c r="C26" s="40" t="s">
        <v>74</v>
      </c>
      <c r="D26" s="3" t="s">
        <v>118</v>
      </c>
      <c r="E26" s="53" t="s">
        <v>70</v>
      </c>
      <c r="F26" s="54"/>
      <c r="G26" s="54"/>
      <c r="H26" s="55"/>
      <c r="I26" s="48">
        <v>40</v>
      </c>
      <c r="J26" s="48">
        <v>14</v>
      </c>
      <c r="K26" s="48">
        <v>14</v>
      </c>
      <c r="L26" s="48">
        <v>13</v>
      </c>
      <c r="M26" s="53">
        <v>136</v>
      </c>
      <c r="N26" s="54">
        <v>167</v>
      </c>
      <c r="O26" s="54">
        <v>149</v>
      </c>
      <c r="P26" s="56">
        <f t="shared" si="0"/>
        <v>24.882999999999999</v>
      </c>
      <c r="Q26" s="49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</row>
    <row r="27" spans="1:139">
      <c r="A27" s="49">
        <v>139</v>
      </c>
      <c r="B27" s="48" t="s">
        <v>84</v>
      </c>
      <c r="C27" s="53" t="s">
        <v>38</v>
      </c>
      <c r="D27" s="54" t="s">
        <v>36</v>
      </c>
      <c r="E27" s="40" t="s">
        <v>39</v>
      </c>
      <c r="F27" s="3" t="s">
        <v>36</v>
      </c>
      <c r="G27" s="3" t="s">
        <v>75</v>
      </c>
      <c r="I27" s="47">
        <v>42</v>
      </c>
      <c r="J27" s="47">
        <v>15</v>
      </c>
      <c r="K27" s="47">
        <v>15</v>
      </c>
      <c r="L27" s="47">
        <v>13</v>
      </c>
      <c r="M27" s="40">
        <v>177</v>
      </c>
      <c r="N27" s="3">
        <v>172</v>
      </c>
      <c r="O27" s="3">
        <v>148</v>
      </c>
      <c r="P27" s="46">
        <f t="shared" si="0"/>
        <v>25.456</v>
      </c>
      <c r="Q27" s="49"/>
    </row>
    <row r="28" spans="1:139" s="57" customFormat="1">
      <c r="A28" s="52">
        <v>213</v>
      </c>
      <c r="B28" s="47" t="s">
        <v>49</v>
      </c>
      <c r="C28" s="40" t="s">
        <v>38</v>
      </c>
      <c r="D28" s="3" t="s">
        <v>46</v>
      </c>
      <c r="E28" s="53" t="s">
        <v>38</v>
      </c>
      <c r="F28" s="54" t="s">
        <v>46</v>
      </c>
      <c r="G28" s="54"/>
      <c r="H28" s="55"/>
      <c r="I28" s="48">
        <v>41</v>
      </c>
      <c r="J28" s="48">
        <v>13</v>
      </c>
      <c r="K28" s="48">
        <v>15</v>
      </c>
      <c r="L28" s="48">
        <v>14</v>
      </c>
      <c r="M28" s="53">
        <v>17</v>
      </c>
      <c r="N28" s="54">
        <v>396</v>
      </c>
      <c r="O28" s="54">
        <v>85</v>
      </c>
      <c r="P28" s="56">
        <f t="shared" si="0"/>
        <v>33.659999999999997</v>
      </c>
      <c r="Q28" s="49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</row>
    <row r="29" spans="1:139">
      <c r="A29" s="49">
        <v>68</v>
      </c>
      <c r="B29" s="48" t="s">
        <v>62</v>
      </c>
      <c r="C29" s="53" t="s">
        <v>70</v>
      </c>
      <c r="D29" s="54" t="s">
        <v>118</v>
      </c>
      <c r="E29" s="40" t="s">
        <v>70</v>
      </c>
      <c r="F29" s="3" t="s">
        <v>71</v>
      </c>
      <c r="I29" s="47">
        <v>50</v>
      </c>
      <c r="J29" s="47">
        <v>12</v>
      </c>
      <c r="K29" s="47">
        <v>14</v>
      </c>
      <c r="L29" s="47">
        <v>15</v>
      </c>
      <c r="M29" s="40">
        <v>201</v>
      </c>
      <c r="N29" s="3">
        <v>141</v>
      </c>
      <c r="O29" s="3">
        <v>180</v>
      </c>
      <c r="P29" s="46">
        <f t="shared" si="0"/>
        <v>25.38</v>
      </c>
      <c r="Q29" s="49"/>
    </row>
    <row r="30" spans="1:139" s="57" customFormat="1">
      <c r="A30" s="52">
        <v>6</v>
      </c>
      <c r="B30" s="47" t="s">
        <v>0</v>
      </c>
      <c r="C30" s="40" t="s">
        <v>100</v>
      </c>
      <c r="D30" s="3" t="s">
        <v>43</v>
      </c>
      <c r="E30" s="53" t="s">
        <v>42</v>
      </c>
      <c r="F30" s="54" t="s">
        <v>43</v>
      </c>
      <c r="G30" s="54" t="s">
        <v>45</v>
      </c>
      <c r="H30" s="55"/>
      <c r="I30" s="48">
        <v>40</v>
      </c>
      <c r="J30" s="48">
        <v>14</v>
      </c>
      <c r="K30" s="48">
        <v>11</v>
      </c>
      <c r="L30" s="48">
        <v>12</v>
      </c>
      <c r="M30" s="53">
        <v>187</v>
      </c>
      <c r="N30" s="54">
        <v>145</v>
      </c>
      <c r="O30" s="54">
        <v>156</v>
      </c>
      <c r="P30" s="56">
        <f t="shared" si="0"/>
        <v>22.62</v>
      </c>
      <c r="Q30" s="49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</row>
    <row r="31" spans="1:139">
      <c r="A31" s="49">
        <v>530</v>
      </c>
      <c r="B31" s="48" t="s">
        <v>59</v>
      </c>
      <c r="C31" s="53" t="s">
        <v>73</v>
      </c>
      <c r="D31" s="54" t="s">
        <v>71</v>
      </c>
      <c r="E31" s="40" t="s">
        <v>75</v>
      </c>
      <c r="F31" s="3" t="s">
        <v>71</v>
      </c>
      <c r="I31" s="47">
        <v>43</v>
      </c>
      <c r="J31" s="47">
        <v>15</v>
      </c>
      <c r="K31" s="47">
        <v>15</v>
      </c>
      <c r="L31" s="47">
        <v>15</v>
      </c>
      <c r="M31" s="40">
        <v>217</v>
      </c>
      <c r="N31" s="3">
        <v>115</v>
      </c>
      <c r="O31" s="3">
        <v>206</v>
      </c>
      <c r="P31" s="46">
        <f t="shared" si="0"/>
        <v>23.69</v>
      </c>
      <c r="Q31" s="49"/>
    </row>
    <row r="32" spans="1:139" s="57" customFormat="1">
      <c r="A32" s="52">
        <v>569</v>
      </c>
      <c r="B32" s="47" t="s">
        <v>52</v>
      </c>
      <c r="C32" s="40" t="s">
        <v>80</v>
      </c>
      <c r="D32" s="55" t="s">
        <v>119</v>
      </c>
      <c r="E32" s="53" t="s">
        <v>46</v>
      </c>
      <c r="F32" s="54" t="s">
        <v>74</v>
      </c>
      <c r="G32" s="54"/>
      <c r="H32" s="55"/>
      <c r="I32" s="48">
        <v>40</v>
      </c>
      <c r="J32" s="48">
        <v>13</v>
      </c>
      <c r="K32" s="48">
        <v>14</v>
      </c>
      <c r="L32" s="48">
        <v>15</v>
      </c>
      <c r="M32" s="53">
        <v>153</v>
      </c>
      <c r="N32" s="54">
        <v>140</v>
      </c>
      <c r="O32" s="54">
        <v>162</v>
      </c>
      <c r="P32" s="56">
        <f t="shared" si="0"/>
        <v>22.68</v>
      </c>
      <c r="Q32" s="49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</row>
    <row r="33" spans="1:139">
      <c r="A33" s="49">
        <v>815</v>
      </c>
      <c r="B33" s="48" t="s">
        <v>1</v>
      </c>
      <c r="C33" s="53" t="s">
        <v>42</v>
      </c>
      <c r="D33" s="55" t="s">
        <v>119</v>
      </c>
      <c r="E33" s="40" t="s">
        <v>42</v>
      </c>
      <c r="F33" s="3" t="s">
        <v>74</v>
      </c>
      <c r="I33" s="47">
        <v>46</v>
      </c>
      <c r="J33" s="47">
        <v>12</v>
      </c>
      <c r="K33" s="47">
        <v>14</v>
      </c>
      <c r="L33" s="47">
        <v>15</v>
      </c>
      <c r="M33" s="40">
        <v>205</v>
      </c>
      <c r="N33" s="3">
        <v>145</v>
      </c>
      <c r="O33" s="3">
        <v>168</v>
      </c>
      <c r="P33" s="46">
        <f t="shared" si="0"/>
        <v>24.36</v>
      </c>
      <c r="Q33" s="49"/>
    </row>
    <row r="34" spans="1:139" s="57" customFormat="1">
      <c r="A34" s="52">
        <v>321</v>
      </c>
      <c r="B34" s="47" t="s">
        <v>24</v>
      </c>
      <c r="C34" s="40" t="s">
        <v>36</v>
      </c>
      <c r="D34" s="55" t="s">
        <v>119</v>
      </c>
      <c r="E34" s="53" t="s">
        <v>36</v>
      </c>
      <c r="F34" s="54" t="s">
        <v>47</v>
      </c>
      <c r="G34" s="54" t="s">
        <v>39</v>
      </c>
      <c r="H34" s="55"/>
      <c r="I34" s="48">
        <v>40</v>
      </c>
      <c r="J34" s="48">
        <v>12</v>
      </c>
      <c r="K34" s="48">
        <v>15</v>
      </c>
      <c r="L34" s="48">
        <v>15</v>
      </c>
      <c r="M34" s="53">
        <v>147</v>
      </c>
      <c r="N34" s="54">
        <v>80</v>
      </c>
      <c r="O34" s="54">
        <v>286</v>
      </c>
      <c r="P34" s="56">
        <f t="shared" si="0"/>
        <v>22.88</v>
      </c>
      <c r="Q34" s="49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</row>
    <row r="35" spans="1:139">
      <c r="A35" s="49">
        <v>141</v>
      </c>
      <c r="B35" s="48" t="s">
        <v>54</v>
      </c>
      <c r="C35" s="53" t="s">
        <v>36</v>
      </c>
      <c r="D35" s="40" t="s">
        <v>38</v>
      </c>
      <c r="E35" s="40" t="s">
        <v>36</v>
      </c>
      <c r="F35" s="3" t="s">
        <v>75</v>
      </c>
      <c r="G35" s="3" t="s">
        <v>70</v>
      </c>
      <c r="H35" s="41" t="s">
        <v>46</v>
      </c>
      <c r="I35" s="47">
        <v>40</v>
      </c>
      <c r="J35" s="47">
        <v>15</v>
      </c>
      <c r="K35" s="47">
        <v>15</v>
      </c>
      <c r="L35" s="47">
        <v>15</v>
      </c>
      <c r="M35" s="40">
        <v>185</v>
      </c>
      <c r="N35" s="3">
        <v>158</v>
      </c>
      <c r="O35" s="3">
        <v>134</v>
      </c>
      <c r="P35" s="46">
        <f t="shared" si="0"/>
        <v>21.172000000000001</v>
      </c>
      <c r="Q35" s="49"/>
    </row>
    <row r="36" spans="1:139" s="57" customFormat="1">
      <c r="A36" s="52">
        <v>521</v>
      </c>
      <c r="B36" s="47" t="s">
        <v>58</v>
      </c>
      <c r="C36" s="40" t="s">
        <v>74</v>
      </c>
      <c r="D36" s="3" t="s">
        <v>43</v>
      </c>
      <c r="E36" s="53" t="s">
        <v>43</v>
      </c>
      <c r="F36" s="54" t="s">
        <v>71</v>
      </c>
      <c r="G36" s="54"/>
      <c r="H36" s="55"/>
      <c r="I36" s="48">
        <v>40</v>
      </c>
      <c r="J36" s="48">
        <v>13</v>
      </c>
      <c r="K36" s="48">
        <v>15</v>
      </c>
      <c r="L36" s="48">
        <v>13</v>
      </c>
      <c r="M36" s="53">
        <v>188</v>
      </c>
      <c r="N36" s="54">
        <v>127</v>
      </c>
      <c r="O36" s="54">
        <v>160</v>
      </c>
      <c r="P36" s="56">
        <f t="shared" si="0"/>
        <v>20.32</v>
      </c>
      <c r="Q36" s="49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</row>
    <row r="37" spans="1:139">
      <c r="A37" s="49">
        <v>870</v>
      </c>
      <c r="B37" s="48" t="s">
        <v>69</v>
      </c>
      <c r="C37" s="53" t="s">
        <v>70</v>
      </c>
      <c r="D37" s="54" t="s">
        <v>118</v>
      </c>
      <c r="E37" s="40" t="s">
        <v>70</v>
      </c>
      <c r="I37" s="47">
        <v>37</v>
      </c>
      <c r="J37" s="47">
        <v>15</v>
      </c>
      <c r="K37" s="47">
        <v>15</v>
      </c>
      <c r="L37" s="47">
        <v>15</v>
      </c>
      <c r="M37" s="40">
        <v>160</v>
      </c>
      <c r="N37" s="3">
        <v>143</v>
      </c>
      <c r="O37" s="3">
        <v>137</v>
      </c>
      <c r="P37" s="46">
        <f t="shared" si="0"/>
        <v>19.591000000000001</v>
      </c>
      <c r="Q37" s="49"/>
    </row>
    <row r="38" spans="1:139" s="57" customFormat="1">
      <c r="A38" s="52">
        <v>858</v>
      </c>
      <c r="B38" s="47" t="s">
        <v>53</v>
      </c>
      <c r="C38" s="40" t="s">
        <v>99</v>
      </c>
      <c r="D38" s="3" t="s">
        <v>97</v>
      </c>
      <c r="E38" s="53" t="s">
        <v>47</v>
      </c>
      <c r="F38" s="54" t="s">
        <v>83</v>
      </c>
      <c r="G38" s="54"/>
      <c r="H38" s="55"/>
      <c r="I38" s="48">
        <v>40</v>
      </c>
      <c r="J38" s="48">
        <v>14</v>
      </c>
      <c r="K38" s="48">
        <v>15</v>
      </c>
      <c r="L38" s="48">
        <v>14</v>
      </c>
      <c r="M38" s="53">
        <v>198</v>
      </c>
      <c r="N38" s="54">
        <v>155</v>
      </c>
      <c r="O38" s="54">
        <v>128</v>
      </c>
      <c r="P38" s="56">
        <f t="shared" si="0"/>
        <v>19.84</v>
      </c>
      <c r="Q38" s="49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</row>
    <row r="39" spans="1:139">
      <c r="A39" s="49">
        <v>555</v>
      </c>
      <c r="B39" s="48" t="s">
        <v>65</v>
      </c>
      <c r="C39" s="53" t="s">
        <v>42</v>
      </c>
      <c r="D39" s="55" t="s">
        <v>119</v>
      </c>
      <c r="E39" s="40" t="s">
        <v>74</v>
      </c>
      <c r="I39" s="47">
        <v>40</v>
      </c>
      <c r="J39" s="47">
        <v>14</v>
      </c>
      <c r="K39" s="47">
        <v>13</v>
      </c>
      <c r="L39" s="47">
        <v>12</v>
      </c>
      <c r="M39" s="40">
        <v>218</v>
      </c>
      <c r="N39" s="3">
        <v>100</v>
      </c>
      <c r="O39" s="3">
        <v>193</v>
      </c>
      <c r="P39" s="46">
        <f t="shared" si="0"/>
        <v>19.3</v>
      </c>
      <c r="Q39" s="49"/>
    </row>
    <row r="40" spans="1:139" s="57" customFormat="1">
      <c r="A40" s="52">
        <v>99</v>
      </c>
      <c r="B40" s="47" t="s">
        <v>19</v>
      </c>
      <c r="C40" s="40" t="s">
        <v>36</v>
      </c>
      <c r="D40" s="55" t="s">
        <v>119</v>
      </c>
      <c r="E40" s="53" t="s">
        <v>36</v>
      </c>
      <c r="F40" s="54" t="s">
        <v>71</v>
      </c>
      <c r="G40" s="54" t="s">
        <v>73</v>
      </c>
      <c r="H40" s="55"/>
      <c r="I40" s="48">
        <v>40</v>
      </c>
      <c r="J40" s="48">
        <v>11</v>
      </c>
      <c r="K40" s="48">
        <v>13</v>
      </c>
      <c r="L40" s="48">
        <v>15</v>
      </c>
      <c r="M40" s="53">
        <v>198</v>
      </c>
      <c r="N40" s="54">
        <v>153</v>
      </c>
      <c r="O40" s="54">
        <v>127</v>
      </c>
      <c r="P40" s="56">
        <f t="shared" si="0"/>
        <v>19.431000000000001</v>
      </c>
      <c r="Q40" s="49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</row>
    <row r="41" spans="1:139">
      <c r="A41" s="49">
        <v>849</v>
      </c>
      <c r="B41" s="48" t="s">
        <v>92</v>
      </c>
      <c r="C41" s="53" t="s">
        <v>77</v>
      </c>
      <c r="D41" s="54" t="s">
        <v>80</v>
      </c>
      <c r="E41" s="40" t="s">
        <v>77</v>
      </c>
      <c r="F41" s="3" t="s">
        <v>80</v>
      </c>
      <c r="I41" s="47">
        <v>40</v>
      </c>
      <c r="J41" s="47">
        <v>15</v>
      </c>
      <c r="K41" s="47">
        <v>14</v>
      </c>
      <c r="L41" s="47">
        <v>15</v>
      </c>
      <c r="M41" s="40">
        <v>188</v>
      </c>
      <c r="N41" s="3">
        <v>121</v>
      </c>
      <c r="O41" s="3">
        <v>154</v>
      </c>
      <c r="P41" s="46">
        <f t="shared" si="0"/>
        <v>18.634</v>
      </c>
      <c r="Q41" s="49"/>
    </row>
    <row r="42" spans="1:139" s="57" customFormat="1">
      <c r="A42" s="52">
        <v>818</v>
      </c>
      <c r="B42" s="47" t="s">
        <v>17</v>
      </c>
      <c r="C42" s="40" t="s">
        <v>36</v>
      </c>
      <c r="D42" s="55" t="s">
        <v>119</v>
      </c>
      <c r="E42" s="53" t="s">
        <v>74</v>
      </c>
      <c r="F42" s="54"/>
      <c r="G42" s="54"/>
      <c r="H42" s="55"/>
      <c r="I42" s="48">
        <v>40</v>
      </c>
      <c r="J42" s="48">
        <v>13</v>
      </c>
      <c r="K42" s="48">
        <v>14</v>
      </c>
      <c r="L42" s="48">
        <v>15</v>
      </c>
      <c r="M42" s="53">
        <v>217</v>
      </c>
      <c r="N42" s="54">
        <v>123</v>
      </c>
      <c r="O42" s="54">
        <v>147</v>
      </c>
      <c r="P42" s="56">
        <f t="shared" si="0"/>
        <v>18.081</v>
      </c>
      <c r="Q42" s="49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</row>
    <row r="43" spans="1:139">
      <c r="A43" s="49">
        <v>94</v>
      </c>
      <c r="B43" s="48" t="s">
        <v>48</v>
      </c>
      <c r="C43" s="53" t="s">
        <v>72</v>
      </c>
      <c r="D43" s="54" t="s">
        <v>80</v>
      </c>
      <c r="E43" s="40" t="s">
        <v>72</v>
      </c>
      <c r="F43" s="3" t="s">
        <v>37</v>
      </c>
      <c r="I43" s="47">
        <v>45</v>
      </c>
      <c r="J43" s="47">
        <v>12</v>
      </c>
      <c r="K43" s="47">
        <v>15</v>
      </c>
      <c r="L43" s="47">
        <v>12</v>
      </c>
      <c r="M43" s="40">
        <v>223</v>
      </c>
      <c r="N43" s="3">
        <v>134</v>
      </c>
      <c r="O43" s="3">
        <v>136</v>
      </c>
      <c r="P43" s="46">
        <f t="shared" si="0"/>
        <v>18.224</v>
      </c>
      <c r="Q43" s="49"/>
    </row>
    <row r="44" spans="1:139" s="57" customFormat="1">
      <c r="A44" s="52">
        <v>12</v>
      </c>
      <c r="B44" s="47" t="s">
        <v>34</v>
      </c>
      <c r="C44" s="40" t="s">
        <v>46</v>
      </c>
      <c r="D44" s="3" t="s">
        <v>96</v>
      </c>
      <c r="E44" s="53" t="s">
        <v>46</v>
      </c>
      <c r="F44" s="54" t="s">
        <v>47</v>
      </c>
      <c r="G44" s="54"/>
      <c r="H44" s="55"/>
      <c r="I44" s="48">
        <v>40</v>
      </c>
      <c r="J44" s="48">
        <v>15</v>
      </c>
      <c r="K44" s="48">
        <v>14</v>
      </c>
      <c r="L44" s="48">
        <v>14</v>
      </c>
      <c r="M44" s="53">
        <v>143</v>
      </c>
      <c r="N44" s="54">
        <v>119</v>
      </c>
      <c r="O44" s="54">
        <v>133</v>
      </c>
      <c r="P44" s="56">
        <f t="shared" si="0"/>
        <v>15.827</v>
      </c>
      <c r="Q44" s="49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</row>
    <row r="45" spans="1:139">
      <c r="A45" s="52">
        <v>302</v>
      </c>
      <c r="B45" s="48" t="s">
        <v>50</v>
      </c>
      <c r="C45" s="53" t="s">
        <v>72</v>
      </c>
      <c r="D45" s="54" t="s">
        <v>37</v>
      </c>
      <c r="E45" s="53" t="s">
        <v>72</v>
      </c>
      <c r="F45" s="54" t="s">
        <v>37</v>
      </c>
      <c r="G45" s="54"/>
      <c r="H45" s="55"/>
      <c r="I45" s="48">
        <v>40</v>
      </c>
      <c r="J45" s="48">
        <v>13</v>
      </c>
      <c r="K45" s="48">
        <v>12</v>
      </c>
      <c r="L45" s="48">
        <v>13</v>
      </c>
      <c r="M45" s="53">
        <v>121</v>
      </c>
      <c r="N45" s="54">
        <v>116</v>
      </c>
      <c r="O45" s="54">
        <v>118</v>
      </c>
      <c r="P45" s="56">
        <f t="shared" si="0"/>
        <v>13.688000000000001</v>
      </c>
    </row>
    <row r="46" spans="1:139">
      <c r="A46" s="57">
        <v>65</v>
      </c>
      <c r="B46" s="48" t="s">
        <v>140</v>
      </c>
      <c r="C46" s="53" t="s">
        <v>47</v>
      </c>
      <c r="D46" s="55" t="s">
        <v>119</v>
      </c>
      <c r="E46" s="90" t="s">
        <v>47</v>
      </c>
      <c r="F46" s="90" t="s">
        <v>70</v>
      </c>
      <c r="G46" s="90"/>
      <c r="H46" s="69"/>
      <c r="I46" s="48">
        <v>40</v>
      </c>
      <c r="J46" s="48">
        <v>14</v>
      </c>
      <c r="K46" s="48">
        <v>15</v>
      </c>
      <c r="L46" s="48">
        <v>15</v>
      </c>
      <c r="M46" s="61">
        <v>225</v>
      </c>
      <c r="N46" s="90">
        <v>144</v>
      </c>
      <c r="O46" s="90">
        <v>127</v>
      </c>
      <c r="P46" s="91">
        <f t="shared" si="0"/>
        <v>18.288</v>
      </c>
    </row>
    <row r="47" spans="1:139">
      <c r="A47" s="89">
        <v>884</v>
      </c>
      <c r="B47" s="48" t="s">
        <v>154</v>
      </c>
      <c r="C47" s="53" t="s">
        <v>155</v>
      </c>
      <c r="D47" s="54" t="s">
        <v>156</v>
      </c>
      <c r="E47" s="53" t="s">
        <v>156</v>
      </c>
      <c r="F47" s="54" t="s">
        <v>155</v>
      </c>
      <c r="G47" s="54" t="s">
        <v>157</v>
      </c>
      <c r="H47" s="55"/>
      <c r="I47" s="48">
        <v>40</v>
      </c>
      <c r="J47" s="48">
        <v>15</v>
      </c>
      <c r="K47" s="48">
        <v>15</v>
      </c>
      <c r="L47" s="48">
        <v>15</v>
      </c>
      <c r="M47" s="54">
        <v>201</v>
      </c>
      <c r="N47" s="54">
        <v>158</v>
      </c>
      <c r="O47" s="55">
        <v>147</v>
      </c>
      <c r="P47" s="66">
        <f t="shared" si="0"/>
        <v>23.225999999999999</v>
      </c>
    </row>
    <row r="48" spans="1:139">
      <c r="A48" s="89">
        <v>763</v>
      </c>
      <c r="B48" s="48" t="s">
        <v>164</v>
      </c>
      <c r="C48" s="53" t="s">
        <v>35</v>
      </c>
      <c r="D48" s="55" t="s">
        <v>119</v>
      </c>
      <c r="E48" s="53" t="s">
        <v>35</v>
      </c>
      <c r="F48" s="54" t="s">
        <v>99</v>
      </c>
      <c r="G48" s="54"/>
      <c r="H48" s="55"/>
      <c r="I48" s="48">
        <v>40</v>
      </c>
      <c r="J48" s="48">
        <v>15</v>
      </c>
      <c r="K48" s="48">
        <v>15</v>
      </c>
      <c r="L48" s="48">
        <v>15</v>
      </c>
      <c r="M48" s="54">
        <v>187</v>
      </c>
      <c r="N48" s="54">
        <v>166</v>
      </c>
      <c r="O48" s="55">
        <v>150</v>
      </c>
      <c r="P48" s="66">
        <f t="shared" si="0"/>
        <v>24.9</v>
      </c>
    </row>
    <row r="49" spans="1:16">
      <c r="A49" s="89">
        <v>282</v>
      </c>
      <c r="B49" s="48" t="s">
        <v>165</v>
      </c>
      <c r="C49" s="53" t="s">
        <v>47</v>
      </c>
      <c r="D49" s="55" t="s">
        <v>99</v>
      </c>
      <c r="E49" s="53" t="s">
        <v>99</v>
      </c>
      <c r="F49" s="54" t="s">
        <v>47</v>
      </c>
      <c r="G49" s="54" t="s">
        <v>35</v>
      </c>
      <c r="H49" s="55" t="s">
        <v>77</v>
      </c>
      <c r="I49" s="48">
        <v>40</v>
      </c>
      <c r="J49" s="48">
        <v>15</v>
      </c>
      <c r="K49" s="48">
        <v>15</v>
      </c>
      <c r="L49" s="48">
        <v>15</v>
      </c>
      <c r="M49" s="54">
        <v>199</v>
      </c>
      <c r="N49" s="54">
        <v>166</v>
      </c>
      <c r="O49" s="55">
        <v>145</v>
      </c>
      <c r="P49" s="66">
        <f t="shared" si="0"/>
        <v>24.07</v>
      </c>
    </row>
    <row r="50" spans="1:16">
      <c r="A50" s="89">
        <v>133</v>
      </c>
      <c r="B50" s="48" t="s">
        <v>168</v>
      </c>
      <c r="C50" s="53" t="s">
        <v>74</v>
      </c>
      <c r="D50" s="55" t="s">
        <v>119</v>
      </c>
      <c r="E50" s="53" t="s">
        <v>74</v>
      </c>
      <c r="F50" s="54"/>
      <c r="G50" s="54"/>
      <c r="H50" s="55"/>
      <c r="I50" s="48">
        <v>40</v>
      </c>
      <c r="J50" s="48">
        <v>15</v>
      </c>
      <c r="K50" s="48">
        <v>15</v>
      </c>
      <c r="L50" s="48">
        <v>15</v>
      </c>
      <c r="M50" s="54">
        <v>94</v>
      </c>
      <c r="N50" s="54">
        <v>102</v>
      </c>
      <c r="O50" s="55">
        <v>127</v>
      </c>
      <c r="P50" s="66">
        <f t="shared" si="0"/>
        <v>12.954000000000001</v>
      </c>
    </row>
    <row r="51" spans="1:16">
      <c r="A51" s="89">
        <v>134</v>
      </c>
      <c r="B51" s="48" t="s">
        <v>171</v>
      </c>
      <c r="C51" s="53" t="s">
        <v>36</v>
      </c>
      <c r="D51" s="55" t="s">
        <v>119</v>
      </c>
      <c r="E51" s="53" t="s">
        <v>36</v>
      </c>
      <c r="F51" s="54"/>
      <c r="G51" s="54"/>
      <c r="H51" s="55"/>
      <c r="I51" s="48">
        <v>40</v>
      </c>
      <c r="J51" s="48">
        <v>15</v>
      </c>
      <c r="K51" s="48">
        <v>15</v>
      </c>
      <c r="L51" s="48">
        <v>15</v>
      </c>
      <c r="M51" s="54">
        <v>174</v>
      </c>
      <c r="N51" s="54">
        <v>139</v>
      </c>
      <c r="O51" s="55">
        <v>230</v>
      </c>
      <c r="P51" s="66">
        <f t="shared" si="0"/>
        <v>31.97</v>
      </c>
    </row>
    <row r="52" spans="1:16">
      <c r="A52" s="89">
        <v>135</v>
      </c>
      <c r="B52" s="48" t="s">
        <v>174</v>
      </c>
      <c r="C52" s="53" t="s">
        <v>77</v>
      </c>
      <c r="D52" s="55" t="s">
        <v>119</v>
      </c>
      <c r="E52" s="53" t="s">
        <v>77</v>
      </c>
      <c r="F52" s="54"/>
      <c r="G52" s="54"/>
      <c r="H52" s="55"/>
      <c r="I52" s="48">
        <v>40</v>
      </c>
      <c r="J52" s="48">
        <v>15</v>
      </c>
      <c r="K52" s="48">
        <v>15</v>
      </c>
      <c r="L52" s="48">
        <v>15</v>
      </c>
      <c r="M52" s="54">
        <v>195</v>
      </c>
      <c r="N52" s="54">
        <v>156</v>
      </c>
      <c r="O52" s="55">
        <v>140</v>
      </c>
      <c r="P52" s="66">
        <f t="shared" si="0"/>
        <v>21.84</v>
      </c>
    </row>
    <row r="53" spans="1:16">
      <c r="A53" s="89">
        <v>136</v>
      </c>
      <c r="B53" s="48" t="s">
        <v>176</v>
      </c>
      <c r="C53" s="53" t="s">
        <v>42</v>
      </c>
      <c r="D53" s="55" t="s">
        <v>119</v>
      </c>
      <c r="E53" s="53" t="s">
        <v>42</v>
      </c>
      <c r="F53" s="54"/>
      <c r="G53" s="54"/>
      <c r="H53" s="55"/>
      <c r="I53" s="48">
        <v>40</v>
      </c>
      <c r="J53" s="48">
        <v>15</v>
      </c>
      <c r="K53" s="48">
        <v>15</v>
      </c>
      <c r="L53" s="48">
        <v>15</v>
      </c>
      <c r="M53" s="54">
        <v>206</v>
      </c>
      <c r="N53" s="54">
        <v>153</v>
      </c>
      <c r="O53" s="55">
        <v>140</v>
      </c>
      <c r="P53" s="66">
        <f t="shared" si="0"/>
        <v>21.42</v>
      </c>
    </row>
    <row r="54" spans="1:16">
      <c r="A54" s="89">
        <v>196</v>
      </c>
      <c r="B54" s="48" t="s">
        <v>180</v>
      </c>
      <c r="C54" s="53" t="s">
        <v>47</v>
      </c>
      <c r="D54" s="55" t="s">
        <v>119</v>
      </c>
      <c r="E54" s="53" t="s">
        <v>47</v>
      </c>
      <c r="F54" s="54"/>
      <c r="G54" s="54"/>
      <c r="H54" s="55"/>
      <c r="I54" s="48">
        <v>40</v>
      </c>
      <c r="J54" s="48">
        <v>15</v>
      </c>
      <c r="K54" s="48">
        <v>15</v>
      </c>
      <c r="L54" s="48">
        <v>15</v>
      </c>
      <c r="M54" s="54">
        <v>218</v>
      </c>
      <c r="N54" s="54">
        <v>150</v>
      </c>
      <c r="O54" s="55">
        <v>140</v>
      </c>
      <c r="P54" s="66">
        <f t="shared" si="0"/>
        <v>21</v>
      </c>
    </row>
    <row r="55" spans="1:16">
      <c r="A55" s="89">
        <v>197</v>
      </c>
      <c r="B55" s="48" t="s">
        <v>181</v>
      </c>
      <c r="C55" s="53" t="s">
        <v>37</v>
      </c>
      <c r="D55" s="55" t="s">
        <v>119</v>
      </c>
      <c r="E55" s="53" t="s">
        <v>37</v>
      </c>
      <c r="F55" s="54"/>
      <c r="G55" s="54"/>
      <c r="H55" s="55"/>
      <c r="I55" s="48">
        <v>40</v>
      </c>
      <c r="J55" s="48">
        <v>15</v>
      </c>
      <c r="K55" s="48">
        <v>15</v>
      </c>
      <c r="L55" s="48">
        <v>15</v>
      </c>
      <c r="M55" s="54">
        <v>111</v>
      </c>
      <c r="N55" s="54">
        <v>202</v>
      </c>
      <c r="O55" s="55">
        <v>182</v>
      </c>
      <c r="P55" s="66">
        <f t="shared" si="0"/>
        <v>36.764000000000003</v>
      </c>
    </row>
    <row r="56" spans="1:16">
      <c r="A56" s="89">
        <v>470</v>
      </c>
      <c r="B56" s="48" t="s">
        <v>183</v>
      </c>
      <c r="C56" s="53" t="s">
        <v>35</v>
      </c>
      <c r="D56" s="55" t="s">
        <v>119</v>
      </c>
      <c r="E56" s="53" t="s">
        <v>35</v>
      </c>
      <c r="F56" s="54"/>
      <c r="G56" s="54"/>
      <c r="H56" s="55"/>
      <c r="I56" s="48">
        <v>40</v>
      </c>
      <c r="J56" s="48">
        <v>15</v>
      </c>
      <c r="K56" s="48">
        <v>15</v>
      </c>
      <c r="L56" s="48">
        <v>15</v>
      </c>
      <c r="M56" s="54">
        <v>183</v>
      </c>
      <c r="N56" s="54">
        <v>185</v>
      </c>
      <c r="O56" s="55">
        <v>140</v>
      </c>
      <c r="P56" s="66">
        <f t="shared" si="0"/>
        <v>25.9</v>
      </c>
    </row>
    <row r="57" spans="1:16">
      <c r="A57" s="89">
        <v>471</v>
      </c>
      <c r="B57" s="48" t="s">
        <v>185</v>
      </c>
      <c r="C57" s="53" t="s">
        <v>76</v>
      </c>
      <c r="D57" s="55" t="s">
        <v>119</v>
      </c>
      <c r="E57" s="53" t="s">
        <v>76</v>
      </c>
      <c r="F57" s="54"/>
      <c r="G57" s="54"/>
      <c r="H57" s="55"/>
      <c r="I57" s="48">
        <v>40</v>
      </c>
      <c r="J57" s="48">
        <v>15</v>
      </c>
      <c r="K57" s="48">
        <v>15</v>
      </c>
      <c r="L57" s="48">
        <v>15</v>
      </c>
      <c r="M57" s="54">
        <v>200</v>
      </c>
      <c r="N57" s="54">
        <v>174</v>
      </c>
      <c r="O57" s="55">
        <v>140</v>
      </c>
      <c r="P57" s="66">
        <f t="shared" si="0"/>
        <v>24.36</v>
      </c>
    </row>
    <row r="58" spans="1:16">
      <c r="A58" s="89">
        <v>700</v>
      </c>
      <c r="B58" s="48" t="s">
        <v>187</v>
      </c>
      <c r="C58" s="53" t="s">
        <v>99</v>
      </c>
      <c r="D58" s="55" t="s">
        <v>119</v>
      </c>
      <c r="E58" s="53" t="s">
        <v>99</v>
      </c>
      <c r="F58" s="54"/>
      <c r="G58" s="54"/>
      <c r="H58" s="55"/>
      <c r="I58" s="48">
        <v>40</v>
      </c>
      <c r="J58" s="48">
        <v>15</v>
      </c>
      <c r="K58" s="48">
        <v>15</v>
      </c>
      <c r="L58" s="48">
        <v>15</v>
      </c>
      <c r="M58" s="54">
        <v>172</v>
      </c>
      <c r="N58" s="54">
        <v>173</v>
      </c>
      <c r="O58" s="55">
        <v>182</v>
      </c>
      <c r="P58" s="66">
        <f t="shared" si="0"/>
        <v>31.486000000000001</v>
      </c>
    </row>
    <row r="59" spans="1:16">
      <c r="A59" s="89">
        <v>475</v>
      </c>
      <c r="B59" s="48" t="s">
        <v>189</v>
      </c>
      <c r="C59" s="53" t="s">
        <v>47</v>
      </c>
      <c r="D59" s="55" t="s">
        <v>70</v>
      </c>
      <c r="E59" s="53" t="s">
        <v>47</v>
      </c>
      <c r="F59" s="54" t="s">
        <v>70</v>
      </c>
      <c r="G59" s="54" t="s">
        <v>99</v>
      </c>
      <c r="H59" s="55"/>
      <c r="I59" s="48">
        <v>40</v>
      </c>
      <c r="J59" s="48">
        <v>15</v>
      </c>
      <c r="K59" s="48">
        <v>15</v>
      </c>
      <c r="L59" s="48">
        <v>15</v>
      </c>
      <c r="M59" s="54">
        <v>199</v>
      </c>
      <c r="N59" s="54">
        <v>166</v>
      </c>
      <c r="O59" s="55">
        <v>145</v>
      </c>
      <c r="P59" s="66">
        <f t="shared" si="0"/>
        <v>24.07</v>
      </c>
    </row>
    <row r="60" spans="1:16">
      <c r="A60" s="89">
        <v>687</v>
      </c>
      <c r="B60" s="48" t="s">
        <v>191</v>
      </c>
      <c r="C60" s="53" t="s">
        <v>37</v>
      </c>
      <c r="D60" s="55" t="s">
        <v>47</v>
      </c>
      <c r="E60" s="53" t="s">
        <v>47</v>
      </c>
      <c r="F60" s="54" t="s">
        <v>43</v>
      </c>
      <c r="G60" s="54"/>
      <c r="H60" s="55"/>
      <c r="I60" s="48">
        <v>40</v>
      </c>
      <c r="J60" s="48">
        <v>15</v>
      </c>
      <c r="K60" s="48">
        <v>15</v>
      </c>
      <c r="L60" s="48">
        <v>15</v>
      </c>
      <c r="M60" s="54">
        <v>151</v>
      </c>
      <c r="N60" s="54">
        <v>142</v>
      </c>
      <c r="O60" s="55">
        <v>169</v>
      </c>
      <c r="P60" s="66">
        <f t="shared" si="0"/>
        <v>23.998000000000001</v>
      </c>
    </row>
    <row r="61" spans="1:16">
      <c r="A61" s="89">
        <v>528</v>
      </c>
      <c r="B61" s="48" t="s">
        <v>192</v>
      </c>
      <c r="C61" s="53" t="s">
        <v>47</v>
      </c>
      <c r="D61" s="55" t="s">
        <v>43</v>
      </c>
      <c r="E61" s="53" t="s">
        <v>47</v>
      </c>
      <c r="F61" s="54" t="s">
        <v>43</v>
      </c>
      <c r="G61" s="54"/>
      <c r="H61" s="55"/>
      <c r="I61" s="48">
        <v>40</v>
      </c>
      <c r="J61" s="48">
        <v>15</v>
      </c>
      <c r="K61" s="48">
        <v>15</v>
      </c>
      <c r="L61" s="48">
        <v>15</v>
      </c>
      <c r="M61" s="54">
        <v>139</v>
      </c>
      <c r="N61" s="54">
        <v>106</v>
      </c>
      <c r="O61" s="55">
        <v>143</v>
      </c>
      <c r="P61" s="66">
        <f t="shared" si="0"/>
        <v>15.157999999999999</v>
      </c>
    </row>
    <row r="62" spans="1:16">
      <c r="A62" s="89">
        <v>569</v>
      </c>
      <c r="B62" s="48" t="s">
        <v>193</v>
      </c>
      <c r="C62" s="53" t="s">
        <v>80</v>
      </c>
      <c r="D62" s="55" t="s">
        <v>119</v>
      </c>
      <c r="E62" s="53" t="s">
        <v>80</v>
      </c>
      <c r="F62" s="54"/>
      <c r="G62" s="54"/>
      <c r="H62" s="55"/>
      <c r="I62" s="48">
        <v>40</v>
      </c>
      <c r="J62" s="48">
        <v>15</v>
      </c>
      <c r="K62" s="48">
        <v>13</v>
      </c>
      <c r="L62" s="48">
        <v>13</v>
      </c>
      <c r="M62" s="54">
        <v>155</v>
      </c>
      <c r="N62" s="54">
        <v>140</v>
      </c>
      <c r="O62" s="55">
        <v>160</v>
      </c>
      <c r="P62" s="66">
        <f t="shared" si="0"/>
        <v>22.4</v>
      </c>
    </row>
    <row r="63" spans="1:16">
      <c r="A63" s="89">
        <v>249</v>
      </c>
      <c r="B63" s="48" t="s">
        <v>195</v>
      </c>
      <c r="C63" s="53" t="s">
        <v>47</v>
      </c>
      <c r="D63" s="55" t="s">
        <v>43</v>
      </c>
      <c r="E63" s="53" t="s">
        <v>47</v>
      </c>
      <c r="F63" s="54" t="s">
        <v>44</v>
      </c>
      <c r="G63" s="54"/>
      <c r="H63" s="55"/>
      <c r="I63" s="48">
        <v>40</v>
      </c>
      <c r="J63" s="48">
        <v>12</v>
      </c>
      <c r="K63" s="48">
        <v>14</v>
      </c>
      <c r="L63" s="48">
        <v>15</v>
      </c>
      <c r="M63" s="54">
        <v>164</v>
      </c>
      <c r="N63" s="54">
        <v>257</v>
      </c>
      <c r="O63" s="55">
        <v>197</v>
      </c>
      <c r="P63" s="66">
        <f t="shared" si="0"/>
        <v>50.628999999999998</v>
      </c>
    </row>
    <row r="64" spans="1:16">
      <c r="A64" s="89">
        <v>106</v>
      </c>
      <c r="B64" s="48" t="s">
        <v>257</v>
      </c>
      <c r="C64" s="53" t="s">
        <v>70</v>
      </c>
      <c r="D64" s="55" t="s">
        <v>119</v>
      </c>
      <c r="E64" s="53" t="s">
        <v>70</v>
      </c>
      <c r="F64" s="54"/>
      <c r="G64" s="54"/>
      <c r="H64" s="55"/>
      <c r="I64" s="48">
        <v>40</v>
      </c>
      <c r="J64" s="48">
        <v>15</v>
      </c>
      <c r="K64" s="48">
        <v>15</v>
      </c>
      <c r="L64" s="48">
        <v>15</v>
      </c>
      <c r="M64" s="54">
        <v>189</v>
      </c>
      <c r="N64" s="54">
        <v>155</v>
      </c>
      <c r="O64" s="55">
        <v>120</v>
      </c>
      <c r="P64" s="66">
        <f t="shared" si="0"/>
        <v>18.600000000000001</v>
      </c>
    </row>
    <row r="65" spans="1:16">
      <c r="A65" s="89">
        <v>107</v>
      </c>
      <c r="B65" s="48" t="s">
        <v>258</v>
      </c>
      <c r="C65" s="53" t="s">
        <v>70</v>
      </c>
      <c r="D65" s="55" t="s">
        <v>119</v>
      </c>
      <c r="E65" s="53" t="s">
        <v>70</v>
      </c>
      <c r="F65" s="54" t="s">
        <v>71</v>
      </c>
      <c r="G65" s="54"/>
      <c r="H65" s="55"/>
      <c r="I65" s="48">
        <v>40</v>
      </c>
      <c r="J65" s="48">
        <v>15</v>
      </c>
      <c r="K65" s="48">
        <v>15</v>
      </c>
      <c r="L65" s="48">
        <v>15</v>
      </c>
      <c r="M65" s="54">
        <v>164</v>
      </c>
      <c r="N65" s="54">
        <v>168</v>
      </c>
      <c r="O65" s="55">
        <v>120</v>
      </c>
      <c r="P65" s="66">
        <f t="shared" si="0"/>
        <v>20.16</v>
      </c>
    </row>
    <row r="66" spans="1:16">
      <c r="A66" s="89">
        <v>365</v>
      </c>
      <c r="B66" s="48" t="s">
        <v>261</v>
      </c>
      <c r="C66" s="53" t="s">
        <v>36</v>
      </c>
      <c r="D66" s="55" t="s">
        <v>76</v>
      </c>
      <c r="E66" s="53" t="s">
        <v>36</v>
      </c>
      <c r="F66" s="54" t="s">
        <v>76</v>
      </c>
      <c r="G66" s="54"/>
      <c r="H66" s="55"/>
      <c r="I66" s="48">
        <v>40</v>
      </c>
      <c r="J66" s="48">
        <v>15</v>
      </c>
      <c r="K66" s="48">
        <v>15</v>
      </c>
      <c r="L66" s="48">
        <v>15</v>
      </c>
      <c r="M66" s="54">
        <v>156</v>
      </c>
      <c r="N66" s="54">
        <v>151</v>
      </c>
      <c r="O66" s="55">
        <v>203</v>
      </c>
      <c r="P66" s="66">
        <f t="shared" si="0"/>
        <v>30.652999999999999</v>
      </c>
    </row>
    <row r="67" spans="1:16">
      <c r="A67" s="89">
        <v>526</v>
      </c>
      <c r="B67" s="48" t="s">
        <v>263</v>
      </c>
      <c r="C67" s="53" t="s">
        <v>39</v>
      </c>
      <c r="D67" s="55"/>
      <c r="E67" s="53" t="s">
        <v>39</v>
      </c>
      <c r="F67" s="54" t="s">
        <v>75</v>
      </c>
      <c r="G67" s="54"/>
      <c r="H67" s="55"/>
      <c r="I67" s="48">
        <v>40</v>
      </c>
      <c r="J67" s="48">
        <v>15</v>
      </c>
      <c r="K67" s="48">
        <v>15</v>
      </c>
      <c r="L67" s="48">
        <v>15</v>
      </c>
      <c r="M67" s="54">
        <v>190</v>
      </c>
      <c r="N67" s="54">
        <v>171</v>
      </c>
      <c r="O67" s="55">
        <v>168</v>
      </c>
      <c r="P67" s="66">
        <f t="shared" si="0"/>
        <v>28.728000000000002</v>
      </c>
    </row>
    <row r="68" spans="1:16">
      <c r="A68" s="89">
        <v>780</v>
      </c>
      <c r="B68" s="48" t="s">
        <v>265</v>
      </c>
      <c r="C68" s="53" t="s">
        <v>45</v>
      </c>
      <c r="D68" s="55" t="s">
        <v>74</v>
      </c>
      <c r="E68" s="54" t="s">
        <v>44</v>
      </c>
      <c r="F68" s="53" t="s">
        <v>47</v>
      </c>
      <c r="G68" s="54"/>
      <c r="H68" s="55"/>
      <c r="I68" s="48">
        <v>40</v>
      </c>
      <c r="J68" s="48">
        <v>15</v>
      </c>
      <c r="K68" s="48">
        <v>15</v>
      </c>
      <c r="L68" s="48">
        <v>15</v>
      </c>
      <c r="M68" s="54">
        <v>194</v>
      </c>
      <c r="N68" s="54">
        <v>141</v>
      </c>
      <c r="O68" s="55">
        <v>158</v>
      </c>
      <c r="P68" s="66">
        <f t="shared" ref="P68" si="1">N68*O68/1000</f>
        <v>22.277999999999999</v>
      </c>
    </row>
    <row r="69" spans="1:16">
      <c r="B69" s="3"/>
      <c r="C69" s="3"/>
      <c r="H69" s="3"/>
      <c r="M69" s="3"/>
      <c r="P69" s="3"/>
    </row>
    <row r="70" spans="1:16">
      <c r="B70" s="3"/>
      <c r="C70" s="3"/>
      <c r="H70" s="3"/>
      <c r="M70" s="3"/>
      <c r="P70" s="3"/>
    </row>
    <row r="71" spans="1:16">
      <c r="B71" s="3"/>
      <c r="C71" s="3"/>
      <c r="H71" s="3"/>
      <c r="M71" s="3"/>
      <c r="P71" s="3"/>
    </row>
    <row r="72" spans="1:16">
      <c r="B72" s="3"/>
      <c r="C72" s="3"/>
      <c r="H72" s="3"/>
      <c r="M72" s="3"/>
      <c r="P72" s="3"/>
    </row>
    <row r="73" spans="1:16">
      <c r="B73" s="3"/>
      <c r="C73" s="3"/>
      <c r="H73" s="3"/>
      <c r="M73" s="3"/>
      <c r="P73" s="3"/>
    </row>
    <row r="74" spans="1:16">
      <c r="B74" s="3"/>
      <c r="C74" s="3"/>
      <c r="H74" s="3"/>
      <c r="M74" s="3"/>
      <c r="P74" s="3"/>
    </row>
    <row r="75" spans="1:16">
      <c r="B75" s="3"/>
      <c r="C75" s="3"/>
      <c r="H75" s="3"/>
      <c r="M75" s="3"/>
      <c r="P75" s="3"/>
    </row>
    <row r="76" spans="1:16">
      <c r="B76" s="3"/>
      <c r="C76" s="3"/>
      <c r="H76" s="3"/>
      <c r="M76" s="3"/>
      <c r="P76" s="3"/>
    </row>
    <row r="77" spans="1:16">
      <c r="B77" s="3"/>
      <c r="C77" s="3"/>
      <c r="H77" s="3"/>
      <c r="M77" s="3"/>
      <c r="P77" s="3"/>
    </row>
    <row r="78" spans="1:16">
      <c r="B78" s="3"/>
      <c r="C78" s="3"/>
      <c r="H78" s="3"/>
      <c r="M78" s="3"/>
      <c r="P78" s="3"/>
    </row>
    <row r="79" spans="1:16">
      <c r="B79" s="3"/>
      <c r="C79" s="3"/>
      <c r="H79" s="3"/>
      <c r="M79" s="3"/>
      <c r="P79" s="3"/>
    </row>
    <row r="80" spans="1:16">
      <c r="B80" s="3"/>
      <c r="C80" s="3"/>
      <c r="H80" s="3"/>
      <c r="M80" s="3"/>
      <c r="P80" s="3"/>
    </row>
    <row r="81" spans="2:16">
      <c r="B81" s="3"/>
      <c r="C81" s="3"/>
      <c r="H81" s="3"/>
      <c r="M81" s="3"/>
      <c r="P81" s="3"/>
    </row>
    <row r="82" spans="2:16">
      <c r="B82" s="3"/>
      <c r="C82" s="3"/>
      <c r="H82" s="3"/>
      <c r="M82" s="3"/>
      <c r="P82" s="3"/>
    </row>
    <row r="83" spans="2:16">
      <c r="B83" s="45"/>
      <c r="H83" s="3"/>
      <c r="M83" s="3"/>
      <c r="P83" s="3"/>
    </row>
    <row r="84" spans="2:16">
      <c r="E84" s="40"/>
    </row>
    <row r="85" spans="2:16">
      <c r="E85" s="40"/>
    </row>
    <row r="86" spans="2:16">
      <c r="E86" s="40"/>
    </row>
    <row r="87" spans="2:16">
      <c r="E87" s="40"/>
    </row>
    <row r="88" spans="2:16">
      <c r="E88" s="40"/>
    </row>
  </sheetData>
  <sortState xmlns:xlrd2="http://schemas.microsoft.com/office/spreadsheetml/2017/richdata2" ref="A1:P45">
    <sortCondition descending="1" ref="P1:P52"/>
  </sortState>
  <mergeCells count="2">
    <mergeCell ref="C1:D1"/>
    <mergeCell ref="E1:H1"/>
  </mergeCells>
  <phoneticPr fontId="1" type="noConversion"/>
  <hyperlinks>
    <hyperlink ref="R1" r:id="rId1" display="https://pokemon.gameinfo.io/zh-tw/tools/cp-calculator" xr:uid="{3A388B83-073A-4721-A2B6-9EB1344212FD}"/>
    <hyperlink ref="S1" r:id="rId2" xr:uid="{9A1D21E4-4F2E-4E61-83DC-44C4ACAA7505}"/>
  </hyperlinks>
  <pageMargins left="0.7" right="0.7" top="0.75" bottom="0.75" header="0.3" footer="0.3"/>
  <ignoredErrors>
    <ignoredError sqref="P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47450-E9AD-40C1-B58F-3D0C5E996E91}">
  <sheetPr codeName="工作表3"/>
  <dimension ref="A1:AS163"/>
  <sheetViews>
    <sheetView tabSelected="1" topLeftCell="Z1" zoomScaleNormal="100" workbookViewId="0">
      <selection activeCell="V1" sqref="V1"/>
    </sheetView>
  </sheetViews>
  <sheetFormatPr defaultColWidth="8.81640625" defaultRowHeight="17"/>
  <cols>
    <col min="1" max="1" width="10" style="3" bestFit="1" customWidth="1"/>
    <col min="2" max="20" width="6.1796875" style="3" customWidth="1"/>
    <col min="21" max="22" width="8.81640625" style="3"/>
    <col min="23" max="23" width="9.453125" style="3" bestFit="1" customWidth="1"/>
    <col min="24" max="24" width="15.453125" style="3" bestFit="1" customWidth="1"/>
    <col min="25" max="25" width="10" style="3" bestFit="1" customWidth="1"/>
    <col min="26" max="28" width="8.81640625" style="3"/>
    <col min="29" max="29" width="18.08984375" style="3" bestFit="1" customWidth="1"/>
    <col min="30" max="30" width="8.81640625" style="86"/>
    <col min="31" max="42" width="8.81640625" style="3"/>
    <col min="43" max="43" width="17.54296875" style="3" customWidth="1"/>
    <col min="44" max="16384" width="8.81640625" style="3"/>
  </cols>
  <sheetData>
    <row r="1" spans="1:45" ht="17" customHeight="1">
      <c r="A1" s="99" t="s">
        <v>256</v>
      </c>
      <c r="B1" s="99" t="s">
        <v>74</v>
      </c>
      <c r="C1" s="99" t="s">
        <v>42</v>
      </c>
      <c r="D1" s="99" t="s">
        <v>70</v>
      </c>
      <c r="E1" s="99" t="s">
        <v>36</v>
      </c>
      <c r="F1" s="99" t="s">
        <v>43</v>
      </c>
      <c r="G1" s="99" t="s">
        <v>35</v>
      </c>
      <c r="H1" s="99" t="s">
        <v>80</v>
      </c>
      <c r="I1" s="99" t="s">
        <v>77</v>
      </c>
      <c r="J1" s="99" t="s">
        <v>75</v>
      </c>
      <c r="K1" s="99" t="s">
        <v>47</v>
      </c>
      <c r="L1" s="99" t="s">
        <v>39</v>
      </c>
      <c r="M1" s="99" t="s">
        <v>76</v>
      </c>
      <c r="N1" s="99" t="s">
        <v>46</v>
      </c>
      <c r="O1" s="99" t="s">
        <v>45</v>
      </c>
      <c r="P1" s="99" t="s">
        <v>72</v>
      </c>
      <c r="Q1" s="99" t="s">
        <v>37</v>
      </c>
      <c r="R1" s="99" t="s">
        <v>71</v>
      </c>
      <c r="S1" s="101" t="s">
        <v>99</v>
      </c>
      <c r="T1" s="99" t="s">
        <v>119</v>
      </c>
      <c r="V1" s="48" t="s">
        <v>44</v>
      </c>
      <c r="W1" s="48" t="s">
        <v>96</v>
      </c>
      <c r="X1" s="48" t="s">
        <v>120</v>
      </c>
      <c r="Y1" s="48" t="s">
        <v>152</v>
      </c>
      <c r="AA1" s="48" t="str">
        <f>V1</f>
        <v>龍</v>
      </c>
      <c r="AB1" s="48" t="str">
        <f>W1</f>
        <v>飛行</v>
      </c>
      <c r="AC1" s="48" t="str">
        <f>X1</f>
        <v>寶可夢</v>
      </c>
      <c r="AD1" s="48" t="str">
        <f>Y1</f>
        <v>DPS</v>
      </c>
    </row>
    <row r="2" spans="1:45" ht="17" customHeight="1">
      <c r="A2" s="99" t="s">
        <v>74</v>
      </c>
      <c r="B2" s="99">
        <v>1</v>
      </c>
      <c r="C2" s="99">
        <v>1</v>
      </c>
      <c r="D2" s="99">
        <v>1</v>
      </c>
      <c r="E2" s="99">
        <v>1</v>
      </c>
      <c r="F2" s="99">
        <v>1</v>
      </c>
      <c r="G2" s="99">
        <v>1</v>
      </c>
      <c r="H2" s="99">
        <v>1</v>
      </c>
      <c r="I2" s="99">
        <v>1</v>
      </c>
      <c r="J2" s="99">
        <v>1</v>
      </c>
      <c r="K2" s="99">
        <v>1</v>
      </c>
      <c r="L2" s="102">
        <v>0.625</v>
      </c>
      <c r="M2" s="99">
        <v>1</v>
      </c>
      <c r="N2" s="99">
        <v>1</v>
      </c>
      <c r="O2" s="99">
        <v>1</v>
      </c>
      <c r="P2" s="104">
        <v>0.39100000000000001</v>
      </c>
      <c r="Q2" s="99">
        <v>1</v>
      </c>
      <c r="R2" s="102">
        <v>0.625</v>
      </c>
      <c r="S2" s="101">
        <v>1</v>
      </c>
      <c r="T2" s="99">
        <v>1</v>
      </c>
      <c r="V2" s="42" t="str" cm="1">
        <f t="array" ref="V2:Y19">_xlfn.SORTBY(AO$2:AR$19, AR$2:AR$19, -1)</f>
        <v>冰</v>
      </c>
      <c r="W2" s="39">
        <v>2.5600000000000005</v>
      </c>
      <c r="X2" s="39" t="str">
        <v>焰白酋雷姆</v>
      </c>
      <c r="Y2" s="87">
        <v>49.20320000000001</v>
      </c>
      <c r="Z2" s="40"/>
      <c r="AA2" s="42" t="str" cm="1">
        <f t="array" ref="AA2:AD159">_xlfn.SORTBY(AO$2:AR$159, AR$2:AR$159, -1)</f>
        <v>冰</v>
      </c>
      <c r="AB2" s="39">
        <v>2.5600000000000005</v>
      </c>
      <c r="AC2" s="39" t="str">
        <v>焰白酋雷姆</v>
      </c>
      <c r="AD2" s="98">
        <v>49.20320000000001</v>
      </c>
      <c r="AO2" s="3" t="s">
        <v>74</v>
      </c>
      <c r="AP2" s="59">
        <f t="shared" ref="AP2" si="0">INDEX($B$2:$T$20, MATCH(A2, $A$2:$A$20, 0), MATCH($V$1, $B$1:$T$1, 0))*INDEX($B$2:$T$20, MATCH(A2, $A$2:$A$20, 0), MATCH($W$1, $B$1:$T$1, 0))</f>
        <v>1</v>
      </c>
      <c r="AQ2" s="4" t="s">
        <v>141</v>
      </c>
      <c r="AR2" s="86">
        <f t="shared" ref="AR2" si="1">AS2*AP2</f>
        <v>22.5</v>
      </c>
      <c r="AS2" s="86">
        <v>22.5</v>
      </c>
    </row>
    <row r="3" spans="1:45" ht="17" customHeight="1">
      <c r="A3" s="99" t="s">
        <v>42</v>
      </c>
      <c r="B3" s="99">
        <v>1</v>
      </c>
      <c r="C3" s="102">
        <v>0.625</v>
      </c>
      <c r="D3" s="99">
        <v>1</v>
      </c>
      <c r="E3" s="102">
        <v>0.625</v>
      </c>
      <c r="F3" s="99">
        <v>1</v>
      </c>
      <c r="G3" s="103">
        <v>1.6</v>
      </c>
      <c r="H3" s="99">
        <v>1</v>
      </c>
      <c r="I3" s="99">
        <v>1</v>
      </c>
      <c r="J3" s="99">
        <v>1</v>
      </c>
      <c r="K3" s="99">
        <v>1</v>
      </c>
      <c r="L3" s="102">
        <v>0.625</v>
      </c>
      <c r="M3" s="103">
        <v>1.6</v>
      </c>
      <c r="N3" s="103">
        <v>1.6</v>
      </c>
      <c r="O3" s="102">
        <v>0.625</v>
      </c>
      <c r="P3" s="99">
        <v>1</v>
      </c>
      <c r="Q3" s="99">
        <v>1</v>
      </c>
      <c r="R3" s="103">
        <v>1.6</v>
      </c>
      <c r="S3" s="101">
        <v>1</v>
      </c>
      <c r="T3" s="99">
        <v>1</v>
      </c>
      <c r="V3" s="40" t="str">
        <v>龍</v>
      </c>
      <c r="W3" s="3">
        <v>1.6</v>
      </c>
      <c r="X3" s="3" t="str">
        <v>無極汰那</v>
      </c>
      <c r="Y3" s="86">
        <v>36.256</v>
      </c>
      <c r="Z3" s="40"/>
      <c r="AA3" s="40" t="str">
        <v>冰</v>
      </c>
      <c r="AB3" s="3">
        <v>2.5600000000000005</v>
      </c>
      <c r="AC3" s="3" t="str">
        <v>闇黑酋雷姆</v>
      </c>
      <c r="AD3" s="97">
        <v>43.468800000000009</v>
      </c>
      <c r="AO3" s="3" t="s">
        <v>42</v>
      </c>
      <c r="AP3" s="59">
        <f t="shared" ref="AP3:AP19" si="2">INDEX($B$2:$T$20, MATCH(A3, $A$2:$A$20, 0), MATCH($V$1, $B$1:$T$1, 0))*INDEX($B$2:$T$20, MATCH(A3, $A$2:$A$20, 0), MATCH($W$1, $B$1:$T$1, 0))</f>
        <v>0.625</v>
      </c>
      <c r="AQ3" s="3" t="s">
        <v>1454</v>
      </c>
      <c r="AR3" s="86">
        <f t="shared" ref="AR3:AR23" si="3">AS3*AP3</f>
        <v>12.3</v>
      </c>
      <c r="AS3" s="3">
        <v>19.68</v>
      </c>
    </row>
    <row r="4" spans="1:45" ht="17" customHeight="1">
      <c r="A4" s="99" t="s">
        <v>70</v>
      </c>
      <c r="B4" s="103">
        <v>1.6</v>
      </c>
      <c r="C4" s="99">
        <v>1</v>
      </c>
      <c r="D4" s="99">
        <v>1</v>
      </c>
      <c r="E4" s="99">
        <v>1</v>
      </c>
      <c r="F4" s="102">
        <v>0.625</v>
      </c>
      <c r="G4" s="99">
        <v>1</v>
      </c>
      <c r="H4" s="102">
        <v>0.625</v>
      </c>
      <c r="I4" s="99">
        <v>1</v>
      </c>
      <c r="J4" s="99">
        <v>1</v>
      </c>
      <c r="K4" s="102">
        <v>0.625</v>
      </c>
      <c r="L4" s="103">
        <v>1.6</v>
      </c>
      <c r="M4" s="103">
        <v>1.6</v>
      </c>
      <c r="N4" s="102">
        <v>0.625</v>
      </c>
      <c r="O4" s="99">
        <v>1</v>
      </c>
      <c r="P4" s="104">
        <v>0.39100000000000001</v>
      </c>
      <c r="Q4" s="103">
        <v>1.6</v>
      </c>
      <c r="R4" s="103">
        <v>1.6</v>
      </c>
      <c r="S4" s="106">
        <v>0.625</v>
      </c>
      <c r="T4" s="99">
        <v>1</v>
      </c>
      <c r="V4" s="53" t="str">
        <v>妖精</v>
      </c>
      <c r="W4" s="54">
        <v>1.6</v>
      </c>
      <c r="X4" s="54" t="str">
        <v>Mega沙奈朵</v>
      </c>
      <c r="Y4" s="88">
        <v>27.6</v>
      </c>
      <c r="Z4" s="40"/>
      <c r="AA4" s="53" t="str">
        <v>冰</v>
      </c>
      <c r="AB4" s="54">
        <v>2.5600000000000005</v>
      </c>
      <c r="AC4" s="54" t="str">
        <v>戰槌龍</v>
      </c>
      <c r="AD4" s="98">
        <v>37.888000000000012</v>
      </c>
      <c r="AO4" s="3" t="s">
        <v>70</v>
      </c>
      <c r="AP4" s="59">
        <f t="shared" si="2"/>
        <v>0.625</v>
      </c>
      <c r="AQ4" s="3" t="s">
        <v>142</v>
      </c>
      <c r="AR4" s="86">
        <f t="shared" si="3"/>
        <v>14.018750000000001</v>
      </c>
      <c r="AS4" s="3">
        <v>22.43</v>
      </c>
    </row>
    <row r="5" spans="1:45" ht="17" customHeight="1">
      <c r="A5" s="99" t="s">
        <v>36</v>
      </c>
      <c r="B5" s="99">
        <v>1</v>
      </c>
      <c r="C5" s="103">
        <v>1.6</v>
      </c>
      <c r="D5" s="99">
        <v>1</v>
      </c>
      <c r="E5" s="102">
        <v>0.625</v>
      </c>
      <c r="F5" s="99">
        <v>1</v>
      </c>
      <c r="G5" s="102">
        <v>0.625</v>
      </c>
      <c r="H5" s="99">
        <v>1</v>
      </c>
      <c r="I5" s="99">
        <v>1</v>
      </c>
      <c r="J5" s="103">
        <v>1.6</v>
      </c>
      <c r="K5" s="99">
        <v>1</v>
      </c>
      <c r="L5" s="103">
        <v>1.6</v>
      </c>
      <c r="M5" s="99">
        <v>1</v>
      </c>
      <c r="N5" s="99">
        <v>1</v>
      </c>
      <c r="O5" s="102">
        <v>0.625</v>
      </c>
      <c r="P5" s="99">
        <v>1</v>
      </c>
      <c r="Q5" s="99">
        <v>1</v>
      </c>
      <c r="R5" s="99">
        <v>1</v>
      </c>
      <c r="S5" s="101">
        <v>1</v>
      </c>
      <c r="T5" s="99">
        <v>1</v>
      </c>
      <c r="V5" s="40" t="str">
        <v>飛行</v>
      </c>
      <c r="W5" s="3">
        <v>1</v>
      </c>
      <c r="X5" s="3" t="str">
        <v>Mega烈空坐</v>
      </c>
      <c r="Y5" s="86">
        <v>26.05</v>
      </c>
      <c r="Z5" s="40"/>
      <c r="AA5" s="40" t="str">
        <v>龍</v>
      </c>
      <c r="AB5" s="3">
        <v>1.6</v>
      </c>
      <c r="AC5" s="3" t="str">
        <v>無極汰那</v>
      </c>
      <c r="AD5" s="97">
        <v>36.256</v>
      </c>
      <c r="AO5" s="3" t="s">
        <v>36</v>
      </c>
      <c r="AP5" s="59">
        <f t="shared" si="2"/>
        <v>0.625</v>
      </c>
      <c r="AQ5" s="3" t="s">
        <v>1477</v>
      </c>
      <c r="AR5" s="86">
        <f t="shared" si="3"/>
        <v>12.137500000000001</v>
      </c>
      <c r="AS5" s="3">
        <v>19.420000000000002</v>
      </c>
    </row>
    <row r="6" spans="1:45" ht="17" customHeight="1">
      <c r="A6" s="99" t="s">
        <v>43</v>
      </c>
      <c r="B6" s="99">
        <v>1</v>
      </c>
      <c r="C6" s="99">
        <v>1</v>
      </c>
      <c r="D6" s="103">
        <v>1.6</v>
      </c>
      <c r="E6" s="99">
        <v>1</v>
      </c>
      <c r="F6" s="99">
        <v>1</v>
      </c>
      <c r="G6" s="103">
        <v>1.6</v>
      </c>
      <c r="H6" s="99">
        <v>1</v>
      </c>
      <c r="I6" s="102">
        <v>0.625</v>
      </c>
      <c r="J6" s="99">
        <v>1</v>
      </c>
      <c r="K6" s="99">
        <v>1</v>
      </c>
      <c r="L6" s="102">
        <v>0.625</v>
      </c>
      <c r="M6" s="99">
        <v>1</v>
      </c>
      <c r="N6" s="103">
        <v>1.6</v>
      </c>
      <c r="O6" s="99">
        <v>1</v>
      </c>
      <c r="P6" s="99">
        <v>1</v>
      </c>
      <c r="Q6" s="99">
        <v>1</v>
      </c>
      <c r="R6" s="102">
        <v>0.625</v>
      </c>
      <c r="S6" s="101">
        <v>1</v>
      </c>
      <c r="T6" s="99">
        <v>1</v>
      </c>
      <c r="V6" s="53" t="str">
        <v>岩石</v>
      </c>
      <c r="W6" s="54">
        <v>1.6</v>
      </c>
      <c r="X6" s="54" t="str">
        <v>Mega班基拉斯</v>
      </c>
      <c r="Y6" s="88">
        <v>24.608000000000004</v>
      </c>
      <c r="Z6" s="40"/>
      <c r="AA6" s="53" t="str">
        <v>冰</v>
      </c>
      <c r="AB6" s="54">
        <v>2.5600000000000005</v>
      </c>
      <c r="AC6" s="54" t="str">
        <v>超甲狂犀</v>
      </c>
      <c r="AD6" s="98">
        <v>36.198400000000007</v>
      </c>
      <c r="AO6" s="3" t="s">
        <v>43</v>
      </c>
      <c r="AP6" s="59">
        <f t="shared" si="2"/>
        <v>1</v>
      </c>
      <c r="AQ6" s="3" t="s">
        <v>1468</v>
      </c>
      <c r="AR6" s="86">
        <f t="shared" si="3"/>
        <v>26.05</v>
      </c>
      <c r="AS6" s="3">
        <v>26.05</v>
      </c>
    </row>
    <row r="7" spans="1:45" ht="17" customHeight="1">
      <c r="A7" s="99" t="s">
        <v>35</v>
      </c>
      <c r="B7" s="99">
        <v>1</v>
      </c>
      <c r="C7" s="102">
        <v>0.625</v>
      </c>
      <c r="D7" s="99">
        <v>1</v>
      </c>
      <c r="E7" s="103">
        <v>1.6</v>
      </c>
      <c r="F7" s="102">
        <v>0.625</v>
      </c>
      <c r="G7" s="102">
        <v>0.625</v>
      </c>
      <c r="H7" s="102">
        <v>0.625</v>
      </c>
      <c r="I7" s="99">
        <v>1</v>
      </c>
      <c r="J7" s="103">
        <v>1.6</v>
      </c>
      <c r="K7" s="99">
        <v>1</v>
      </c>
      <c r="L7" s="103">
        <v>1.6</v>
      </c>
      <c r="M7" s="99">
        <v>1</v>
      </c>
      <c r="N7" s="102">
        <v>0.625</v>
      </c>
      <c r="O7" s="102">
        <v>0.625</v>
      </c>
      <c r="P7" s="99">
        <v>1</v>
      </c>
      <c r="Q7" s="99">
        <v>1</v>
      </c>
      <c r="R7" s="102">
        <v>0.625</v>
      </c>
      <c r="S7" s="101">
        <v>1</v>
      </c>
      <c r="T7" s="99">
        <v>1</v>
      </c>
      <c r="V7" s="40" t="str">
        <v>一般</v>
      </c>
      <c r="W7" s="3">
        <v>1</v>
      </c>
      <c r="X7" s="3" t="str">
        <v>暗影雷吉</v>
      </c>
      <c r="Y7" s="86">
        <v>22.5</v>
      </c>
      <c r="Z7" s="40"/>
      <c r="AA7" s="40" t="str">
        <v>龍</v>
      </c>
      <c r="AB7" s="3">
        <v>1.6</v>
      </c>
      <c r="AC7" s="3" t="str">
        <v>Mega烈空坐</v>
      </c>
      <c r="AD7" s="97">
        <v>36.016000000000005</v>
      </c>
      <c r="AO7" s="3" t="s">
        <v>35</v>
      </c>
      <c r="AP7" s="59">
        <f t="shared" si="2"/>
        <v>0.390625</v>
      </c>
      <c r="AQ7" s="3" t="s">
        <v>143</v>
      </c>
      <c r="AR7" s="86">
        <f t="shared" si="3"/>
        <v>7.80078125</v>
      </c>
      <c r="AS7" s="3">
        <v>19.97</v>
      </c>
    </row>
    <row r="8" spans="1:45" ht="17" customHeight="1">
      <c r="A8" s="99" t="s">
        <v>80</v>
      </c>
      <c r="B8" s="99">
        <v>1</v>
      </c>
      <c r="C8" s="99">
        <v>1</v>
      </c>
      <c r="D8" s="99">
        <v>1</v>
      </c>
      <c r="E8" s="99">
        <v>1</v>
      </c>
      <c r="F8" s="99">
        <v>1</v>
      </c>
      <c r="G8" s="103">
        <v>1.6</v>
      </c>
      <c r="H8" s="102">
        <v>0.625</v>
      </c>
      <c r="I8" s="99">
        <v>1</v>
      </c>
      <c r="J8" s="102">
        <v>0.625</v>
      </c>
      <c r="K8" s="99">
        <v>1</v>
      </c>
      <c r="L8" s="102">
        <v>0.625</v>
      </c>
      <c r="M8" s="99">
        <v>1</v>
      </c>
      <c r="N8" s="99">
        <v>1</v>
      </c>
      <c r="O8" s="99">
        <v>1</v>
      </c>
      <c r="P8" s="102">
        <v>0.625</v>
      </c>
      <c r="Q8" s="99">
        <v>1</v>
      </c>
      <c r="R8" s="104">
        <v>0.39100000000000001</v>
      </c>
      <c r="S8" s="107">
        <v>1.6</v>
      </c>
      <c r="T8" s="99">
        <v>1</v>
      </c>
      <c r="V8" s="53" t="str">
        <v>鋼</v>
      </c>
      <c r="W8" s="54">
        <v>1</v>
      </c>
      <c r="X8" s="54" t="str">
        <v>劍之王</v>
      </c>
      <c r="Y8" s="88">
        <v>22.27</v>
      </c>
      <c r="Z8" s="40"/>
      <c r="AA8" s="53" t="str">
        <v>冰</v>
      </c>
      <c r="AB8" s="54">
        <v>2.5600000000000005</v>
      </c>
      <c r="AC8" s="54" t="str">
        <v>達摩狒狒 伽勒爾</v>
      </c>
      <c r="AD8" s="98">
        <v>35.763200000000012</v>
      </c>
      <c r="AO8" s="3" t="s">
        <v>80</v>
      </c>
      <c r="AP8" s="59">
        <f t="shared" si="2"/>
        <v>1</v>
      </c>
      <c r="AQ8" s="3" t="s">
        <v>133</v>
      </c>
      <c r="AR8" s="86">
        <f t="shared" si="3"/>
        <v>17.690000000000001</v>
      </c>
      <c r="AS8" s="3">
        <v>17.690000000000001</v>
      </c>
    </row>
    <row r="9" spans="1:45" ht="17" customHeight="1">
      <c r="A9" s="99" t="s">
        <v>77</v>
      </c>
      <c r="B9" s="99">
        <v>1</v>
      </c>
      <c r="C9" s="99">
        <v>1</v>
      </c>
      <c r="D9" s="99">
        <v>1</v>
      </c>
      <c r="E9" s="103">
        <v>1.6</v>
      </c>
      <c r="F9" s="103">
        <v>1.6</v>
      </c>
      <c r="G9" s="102">
        <v>0.625</v>
      </c>
      <c r="H9" s="99">
        <v>1</v>
      </c>
      <c r="I9" s="102">
        <v>0.625</v>
      </c>
      <c r="J9" s="104">
        <v>0.39100000000000001</v>
      </c>
      <c r="K9" s="99">
        <v>1</v>
      </c>
      <c r="L9" s="99">
        <v>1</v>
      </c>
      <c r="M9" s="99">
        <v>1</v>
      </c>
      <c r="N9" s="99">
        <v>1</v>
      </c>
      <c r="O9" s="102">
        <v>0.625</v>
      </c>
      <c r="P9" s="99">
        <v>1</v>
      </c>
      <c r="Q9" s="99">
        <v>1</v>
      </c>
      <c r="R9" s="99">
        <v>1</v>
      </c>
      <c r="S9" s="101">
        <v>1</v>
      </c>
      <c r="T9" s="99">
        <v>1</v>
      </c>
      <c r="V9" s="40" t="str">
        <v>幽靈</v>
      </c>
      <c r="W9" s="3">
        <v>1</v>
      </c>
      <c r="X9" s="3" t="str">
        <v>奈克洛茲瑪</v>
      </c>
      <c r="Y9" s="86">
        <v>22.16</v>
      </c>
      <c r="Z9" s="40"/>
      <c r="AA9" s="40" t="str">
        <v>冰</v>
      </c>
      <c r="AB9" s="3">
        <v>2.5600000000000005</v>
      </c>
      <c r="AC9" s="3" t="str">
        <v>戟脊龍</v>
      </c>
      <c r="AD9" s="97">
        <v>35.507200000000005</v>
      </c>
      <c r="AO9" s="3" t="s">
        <v>77</v>
      </c>
      <c r="AP9" s="59">
        <f t="shared" si="2"/>
        <v>1</v>
      </c>
      <c r="AQ9" s="3" t="s">
        <v>144</v>
      </c>
      <c r="AR9" s="86">
        <f t="shared" si="3"/>
        <v>16.59</v>
      </c>
      <c r="AS9" s="3">
        <v>16.59</v>
      </c>
    </row>
    <row r="10" spans="1:45" ht="17" customHeight="1">
      <c r="A10" s="99" t="s">
        <v>75</v>
      </c>
      <c r="B10" s="99">
        <v>1</v>
      </c>
      <c r="C10" s="103">
        <v>1.6</v>
      </c>
      <c r="D10" s="99">
        <v>1</v>
      </c>
      <c r="E10" s="99">
        <v>1</v>
      </c>
      <c r="F10" s="104">
        <v>0.39100000000000001</v>
      </c>
      <c r="G10" s="102">
        <v>0.625</v>
      </c>
      <c r="H10" s="103">
        <v>1.6</v>
      </c>
      <c r="I10" s="103">
        <v>1.6</v>
      </c>
      <c r="J10" s="99">
        <v>1</v>
      </c>
      <c r="K10" s="99">
        <v>1</v>
      </c>
      <c r="L10" s="103">
        <v>1.6</v>
      </c>
      <c r="M10" s="99">
        <v>1</v>
      </c>
      <c r="N10" s="102">
        <v>0.625</v>
      </c>
      <c r="O10" s="99">
        <v>1</v>
      </c>
      <c r="P10" s="99">
        <v>1</v>
      </c>
      <c r="Q10" s="99">
        <v>1</v>
      </c>
      <c r="R10" s="103">
        <v>1.6</v>
      </c>
      <c r="S10" s="101">
        <v>1</v>
      </c>
      <c r="T10" s="99">
        <v>1</v>
      </c>
      <c r="V10" s="53" t="str">
        <v>超能力</v>
      </c>
      <c r="W10" s="54">
        <v>1</v>
      </c>
      <c r="X10" s="54" t="str">
        <v>Mega艾路雷朵</v>
      </c>
      <c r="Y10" s="88">
        <v>18.11</v>
      </c>
      <c r="Z10" s="40"/>
      <c r="AA10" s="53" t="str">
        <v>冰</v>
      </c>
      <c r="AB10" s="54">
        <v>2.5600000000000005</v>
      </c>
      <c r="AC10" s="54" t="str">
        <v>Mega暴雪王</v>
      </c>
      <c r="AD10" s="98">
        <v>34.662400000000005</v>
      </c>
      <c r="AO10" s="3" t="s">
        <v>75</v>
      </c>
      <c r="AP10" s="59">
        <f t="shared" si="2"/>
        <v>0.39100000000000001</v>
      </c>
      <c r="AQ10" s="3" t="s">
        <v>145</v>
      </c>
      <c r="AR10" s="86">
        <f t="shared" si="3"/>
        <v>6.9793500000000011</v>
      </c>
      <c r="AS10" s="3">
        <v>17.850000000000001</v>
      </c>
    </row>
    <row r="11" spans="1:45" ht="17" customHeight="1">
      <c r="A11" s="99" t="s">
        <v>47</v>
      </c>
      <c r="B11" s="99">
        <v>1</v>
      </c>
      <c r="C11" s="99">
        <v>1</v>
      </c>
      <c r="D11" s="103">
        <v>1.6</v>
      </c>
      <c r="E11" s="99">
        <v>1</v>
      </c>
      <c r="F11" s="99">
        <v>1</v>
      </c>
      <c r="G11" s="99">
        <v>1</v>
      </c>
      <c r="H11" s="103">
        <v>1.6</v>
      </c>
      <c r="I11" s="99">
        <v>1</v>
      </c>
      <c r="J11" s="99">
        <v>1</v>
      </c>
      <c r="K11" s="102">
        <v>0.625</v>
      </c>
      <c r="L11" s="99">
        <v>1</v>
      </c>
      <c r="M11" s="99">
        <v>1</v>
      </c>
      <c r="N11" s="99">
        <v>1</v>
      </c>
      <c r="O11" s="99">
        <v>1</v>
      </c>
      <c r="P11" s="99">
        <v>1</v>
      </c>
      <c r="Q11" s="104">
        <v>0.39100000000000001</v>
      </c>
      <c r="R11" s="102">
        <v>0.625</v>
      </c>
      <c r="S11" s="101">
        <v>1</v>
      </c>
      <c r="T11" s="99">
        <v>1</v>
      </c>
      <c r="V11" s="40" t="str">
        <v>惡</v>
      </c>
      <c r="W11" s="3">
        <v>1</v>
      </c>
      <c r="X11" s="3" t="str">
        <v>Mega班基拉斯</v>
      </c>
      <c r="Y11" s="86">
        <v>17.88</v>
      </c>
      <c r="Z11" s="40"/>
      <c r="AA11" s="40" t="str">
        <v>冰</v>
      </c>
      <c r="AB11" s="3">
        <v>2.5600000000000005</v>
      </c>
      <c r="AC11" s="3" t="str">
        <v>代拉基翁</v>
      </c>
      <c r="AD11" s="97">
        <v>34.636800000000008</v>
      </c>
      <c r="AO11" s="3" t="s">
        <v>47</v>
      </c>
      <c r="AP11" s="59">
        <f t="shared" si="2"/>
        <v>1</v>
      </c>
      <c r="AQ11" s="3" t="s">
        <v>146</v>
      </c>
      <c r="AR11" s="86">
        <f t="shared" si="3"/>
        <v>18.11</v>
      </c>
      <c r="AS11" s="3">
        <v>18.11</v>
      </c>
    </row>
    <row r="12" spans="1:45" ht="17" customHeight="1">
      <c r="A12" s="99" t="s">
        <v>39</v>
      </c>
      <c r="B12" s="99">
        <v>1</v>
      </c>
      <c r="C12" s="103">
        <v>1.6</v>
      </c>
      <c r="D12" s="102">
        <v>0.625</v>
      </c>
      <c r="E12" s="99">
        <v>1</v>
      </c>
      <c r="F12" s="103">
        <v>1.6</v>
      </c>
      <c r="G12" s="99">
        <v>1</v>
      </c>
      <c r="H12" s="99">
        <v>1</v>
      </c>
      <c r="I12" s="99">
        <v>1</v>
      </c>
      <c r="J12" s="102">
        <v>0.625</v>
      </c>
      <c r="K12" s="99">
        <v>1</v>
      </c>
      <c r="L12" s="99">
        <v>1</v>
      </c>
      <c r="M12" s="103">
        <v>1.6</v>
      </c>
      <c r="N12" s="103">
        <v>1.6</v>
      </c>
      <c r="O12" s="99">
        <v>1</v>
      </c>
      <c r="P12" s="99">
        <v>1</v>
      </c>
      <c r="Q12" s="99">
        <v>1</v>
      </c>
      <c r="R12" s="102">
        <v>0.625</v>
      </c>
      <c r="S12" s="101">
        <v>1</v>
      </c>
      <c r="T12" s="99">
        <v>1</v>
      </c>
      <c r="V12" s="53" t="str">
        <v>毒</v>
      </c>
      <c r="W12" s="54">
        <v>1</v>
      </c>
      <c r="X12" s="54" t="str">
        <v>無極汰那</v>
      </c>
      <c r="Y12" s="88">
        <v>17.690000000000001</v>
      </c>
      <c r="Z12" s="40"/>
      <c r="AA12" s="53" t="str">
        <v>冰</v>
      </c>
      <c r="AB12" s="54">
        <v>2.5600000000000005</v>
      </c>
      <c r="AC12" s="54" t="str">
        <v>Mega冰鬼護</v>
      </c>
      <c r="AD12" s="98">
        <v>34.585600000000007</v>
      </c>
      <c r="AO12" s="3" t="s">
        <v>39</v>
      </c>
      <c r="AP12" s="59">
        <f t="shared" si="2"/>
        <v>1.6</v>
      </c>
      <c r="AQ12" s="3" t="s">
        <v>147</v>
      </c>
      <c r="AR12" s="86">
        <f t="shared" si="3"/>
        <v>24.608000000000004</v>
      </c>
      <c r="AS12" s="3">
        <v>15.38</v>
      </c>
    </row>
    <row r="13" spans="1:45" ht="17" customHeight="1">
      <c r="A13" s="99" t="s">
        <v>76</v>
      </c>
      <c r="B13" s="99">
        <v>1</v>
      </c>
      <c r="C13" s="102">
        <v>0.625</v>
      </c>
      <c r="D13" s="99">
        <v>1</v>
      </c>
      <c r="E13" s="102">
        <v>0.625</v>
      </c>
      <c r="F13" s="103">
        <v>1.6</v>
      </c>
      <c r="G13" s="103">
        <v>1.6</v>
      </c>
      <c r="H13" s="99">
        <v>1</v>
      </c>
      <c r="I13" s="99">
        <v>1</v>
      </c>
      <c r="J13" s="103">
        <v>1.6</v>
      </c>
      <c r="K13" s="99">
        <v>1</v>
      </c>
      <c r="L13" s="99">
        <v>1</v>
      </c>
      <c r="M13" s="102">
        <v>0.625</v>
      </c>
      <c r="N13" s="99">
        <v>1</v>
      </c>
      <c r="O13" s="103">
        <v>1.6</v>
      </c>
      <c r="P13" s="99">
        <v>1</v>
      </c>
      <c r="Q13" s="99">
        <v>1</v>
      </c>
      <c r="R13" s="102">
        <v>0.625</v>
      </c>
      <c r="S13" s="101">
        <v>1</v>
      </c>
      <c r="T13" s="99">
        <v>1</v>
      </c>
      <c r="V13" s="40" t="str">
        <v>電</v>
      </c>
      <c r="W13" s="3">
        <v>1</v>
      </c>
      <c r="X13" s="3" t="str">
        <v>Mega雷電獸</v>
      </c>
      <c r="Y13" s="86">
        <v>16.59</v>
      </c>
      <c r="Z13" s="40"/>
      <c r="AA13" s="40" t="str">
        <v>冰</v>
      </c>
      <c r="AB13" s="3">
        <v>2.5600000000000005</v>
      </c>
      <c r="AC13" s="3" t="str">
        <v>象牙豬</v>
      </c>
      <c r="AD13" s="97">
        <v>34.432000000000002</v>
      </c>
      <c r="AO13" s="3" t="s">
        <v>76</v>
      </c>
      <c r="AP13" s="59">
        <f t="shared" si="2"/>
        <v>2.5600000000000005</v>
      </c>
      <c r="AQ13" s="3" t="s">
        <v>148</v>
      </c>
      <c r="AR13" s="86">
        <f t="shared" si="3"/>
        <v>49.20320000000001</v>
      </c>
      <c r="AS13" s="3">
        <v>19.22</v>
      </c>
    </row>
    <row r="14" spans="1:45" ht="17" customHeight="1">
      <c r="A14" s="99" t="s">
        <v>46</v>
      </c>
      <c r="B14" s="99">
        <v>1</v>
      </c>
      <c r="C14" s="102">
        <v>0.625</v>
      </c>
      <c r="D14" s="102">
        <v>0.625</v>
      </c>
      <c r="E14" s="99">
        <v>1</v>
      </c>
      <c r="F14" s="102">
        <v>0.625</v>
      </c>
      <c r="G14" s="103">
        <v>1.6</v>
      </c>
      <c r="H14" s="102">
        <v>0.625</v>
      </c>
      <c r="I14" s="99">
        <v>1</v>
      </c>
      <c r="J14" s="99">
        <v>1</v>
      </c>
      <c r="K14" s="103">
        <v>1.6</v>
      </c>
      <c r="L14" s="99">
        <v>1</v>
      </c>
      <c r="M14" s="99">
        <v>1</v>
      </c>
      <c r="N14" s="99">
        <v>1</v>
      </c>
      <c r="O14" s="99">
        <v>1</v>
      </c>
      <c r="P14" s="102">
        <v>0.625</v>
      </c>
      <c r="Q14" s="103">
        <v>1.6</v>
      </c>
      <c r="R14" s="102">
        <v>0.625</v>
      </c>
      <c r="S14" s="106">
        <v>0.625</v>
      </c>
      <c r="T14" s="99">
        <v>1</v>
      </c>
      <c r="V14" s="53" t="str">
        <v>格鬥</v>
      </c>
      <c r="W14" s="54">
        <v>0.625</v>
      </c>
      <c r="X14" s="54" t="str">
        <v>Mega路卡</v>
      </c>
      <c r="Y14" s="88">
        <v>14.018750000000001</v>
      </c>
      <c r="Z14" s="40"/>
      <c r="AA14" s="53" t="str">
        <v>冰</v>
      </c>
      <c r="AB14" s="54">
        <v>2.5600000000000005</v>
      </c>
      <c r="AC14" s="54" t="str">
        <v>龐岩怪</v>
      </c>
      <c r="AD14" s="98">
        <v>33.126400000000004</v>
      </c>
      <c r="AO14" s="3" t="s">
        <v>46</v>
      </c>
      <c r="AP14" s="59">
        <f t="shared" si="2"/>
        <v>0.625</v>
      </c>
      <c r="AQ14" s="3" t="s">
        <v>153</v>
      </c>
      <c r="AR14" s="86">
        <f t="shared" si="3"/>
        <v>9.8312500000000007</v>
      </c>
      <c r="AS14" s="3">
        <v>15.73</v>
      </c>
    </row>
    <row r="15" spans="1:45" ht="17" customHeight="1">
      <c r="A15" s="99" t="s">
        <v>45</v>
      </c>
      <c r="B15" s="99">
        <v>1</v>
      </c>
      <c r="C15" s="99">
        <v>1</v>
      </c>
      <c r="D15" s="99">
        <v>1</v>
      </c>
      <c r="E15" s="99">
        <v>1</v>
      </c>
      <c r="F15" s="99">
        <v>1</v>
      </c>
      <c r="G15" s="99">
        <v>1</v>
      </c>
      <c r="H15" s="99">
        <v>1</v>
      </c>
      <c r="I15" s="99">
        <v>1</v>
      </c>
      <c r="J15" s="99">
        <v>1</v>
      </c>
      <c r="K15" s="99">
        <v>1</v>
      </c>
      <c r="L15" s="99">
        <v>1</v>
      </c>
      <c r="M15" s="99">
        <v>1</v>
      </c>
      <c r="N15" s="99">
        <v>1</v>
      </c>
      <c r="O15" s="103">
        <v>1.6</v>
      </c>
      <c r="P15" s="99">
        <v>1</v>
      </c>
      <c r="Q15" s="99">
        <v>1</v>
      </c>
      <c r="R15" s="102">
        <v>0.625</v>
      </c>
      <c r="S15" s="108">
        <v>0.39100000000000001</v>
      </c>
      <c r="T15" s="99">
        <v>1</v>
      </c>
      <c r="V15" s="40" t="str">
        <v>火</v>
      </c>
      <c r="W15" s="3">
        <v>0.625</v>
      </c>
      <c r="X15" s="3" t="str">
        <v>Nega噴火龍Y</v>
      </c>
      <c r="Y15" s="86">
        <v>12.3</v>
      </c>
      <c r="Z15" s="40"/>
      <c r="AA15" s="40" t="str">
        <v>龍</v>
      </c>
      <c r="AB15" s="3">
        <v>1.6</v>
      </c>
      <c r="AC15" s="3" t="str">
        <v>Mega烈咬陸鯊</v>
      </c>
      <c r="AD15" s="97">
        <v>32.672000000000004</v>
      </c>
      <c r="AO15" s="3" t="s">
        <v>45</v>
      </c>
      <c r="AP15" s="59">
        <f t="shared" si="2"/>
        <v>1.6</v>
      </c>
      <c r="AQ15" s="3" t="s">
        <v>133</v>
      </c>
      <c r="AR15" s="86">
        <f t="shared" si="3"/>
        <v>36.256</v>
      </c>
      <c r="AS15" s="3">
        <v>22.66</v>
      </c>
    </row>
    <row r="16" spans="1:45" ht="17" customHeight="1">
      <c r="A16" s="99" t="s">
        <v>72</v>
      </c>
      <c r="B16" s="104">
        <v>0.39100000000000001</v>
      </c>
      <c r="C16" s="99">
        <v>1</v>
      </c>
      <c r="D16" s="99">
        <v>1</v>
      </c>
      <c r="E16" s="99">
        <v>1</v>
      </c>
      <c r="F16" s="99">
        <v>1</v>
      </c>
      <c r="G16" s="99">
        <v>1</v>
      </c>
      <c r="H16" s="99">
        <v>1</v>
      </c>
      <c r="I16" s="99">
        <v>1</v>
      </c>
      <c r="J16" s="99">
        <v>1</v>
      </c>
      <c r="K16" s="103">
        <v>1.6</v>
      </c>
      <c r="L16" s="99">
        <v>1</v>
      </c>
      <c r="M16" s="99">
        <v>1</v>
      </c>
      <c r="N16" s="99">
        <v>1</v>
      </c>
      <c r="O16" s="99">
        <v>1</v>
      </c>
      <c r="P16" s="103">
        <v>1.6</v>
      </c>
      <c r="Q16" s="102">
        <v>0.625</v>
      </c>
      <c r="R16" s="99">
        <v>1</v>
      </c>
      <c r="S16" s="101">
        <v>1</v>
      </c>
      <c r="T16" s="99">
        <v>1</v>
      </c>
      <c r="V16" s="53" t="str">
        <v>水</v>
      </c>
      <c r="W16" s="54">
        <v>0.625</v>
      </c>
      <c r="X16" s="54" t="str">
        <v>原始蓋歐卡</v>
      </c>
      <c r="Y16" s="88">
        <v>12.137500000000001</v>
      </c>
      <c r="Z16" s="40"/>
      <c r="AA16" s="53" t="str">
        <v>冰</v>
      </c>
      <c r="AB16" s="54">
        <v>2.5600000000000005</v>
      </c>
      <c r="AC16" s="54" t="str">
        <v>冰伊布</v>
      </c>
      <c r="AD16" s="98">
        <v>32.512000000000008</v>
      </c>
      <c r="AO16" s="3" t="s">
        <v>72</v>
      </c>
      <c r="AP16" s="59">
        <f t="shared" si="2"/>
        <v>1</v>
      </c>
      <c r="AQ16" s="3" t="s">
        <v>149</v>
      </c>
      <c r="AR16" s="86">
        <f t="shared" si="3"/>
        <v>22.16</v>
      </c>
      <c r="AS16" s="3">
        <v>22.16</v>
      </c>
    </row>
    <row r="17" spans="1:45" ht="17" customHeight="1">
      <c r="A17" s="99" t="s">
        <v>37</v>
      </c>
      <c r="B17" s="99">
        <v>1</v>
      </c>
      <c r="C17" s="99">
        <v>1</v>
      </c>
      <c r="D17" s="102">
        <v>0.625</v>
      </c>
      <c r="E17" s="99">
        <v>1</v>
      </c>
      <c r="F17" s="99">
        <v>1</v>
      </c>
      <c r="G17" s="99">
        <v>1</v>
      </c>
      <c r="H17" s="99">
        <v>1</v>
      </c>
      <c r="I17" s="99">
        <v>1</v>
      </c>
      <c r="J17" s="99">
        <v>1</v>
      </c>
      <c r="K17" s="103">
        <v>1.6</v>
      </c>
      <c r="L17" s="99">
        <v>1</v>
      </c>
      <c r="M17" s="99">
        <v>1</v>
      </c>
      <c r="N17" s="99">
        <v>1</v>
      </c>
      <c r="O17" s="99">
        <v>1</v>
      </c>
      <c r="P17" s="103">
        <v>1.6</v>
      </c>
      <c r="Q17" s="102">
        <v>0.625</v>
      </c>
      <c r="R17" s="99">
        <v>1</v>
      </c>
      <c r="S17" s="106">
        <v>0.625</v>
      </c>
      <c r="T17" s="99">
        <v>1</v>
      </c>
      <c r="V17" s="40" t="str">
        <v>蟲</v>
      </c>
      <c r="W17" s="3">
        <v>0.625</v>
      </c>
      <c r="X17" s="3" t="str">
        <v>Mega凱羅斯</v>
      </c>
      <c r="Y17" s="86">
        <v>9.8312500000000007</v>
      </c>
      <c r="Z17" s="40"/>
      <c r="AA17" s="40" t="str">
        <v>龍</v>
      </c>
      <c r="AB17" s="3">
        <v>1.6</v>
      </c>
      <c r="AC17" s="3" t="str">
        <v>Mega暴飛龍</v>
      </c>
      <c r="AD17" s="97">
        <v>28.592000000000002</v>
      </c>
      <c r="AO17" s="3" t="s">
        <v>37</v>
      </c>
      <c r="AP17" s="59">
        <f t="shared" si="2"/>
        <v>1</v>
      </c>
      <c r="AQ17" s="3" t="s">
        <v>147</v>
      </c>
      <c r="AR17" s="86">
        <f t="shared" si="3"/>
        <v>17.88</v>
      </c>
      <c r="AS17" s="3">
        <v>17.88</v>
      </c>
    </row>
    <row r="18" spans="1:45" ht="17" customHeight="1">
      <c r="A18" s="99" t="s">
        <v>71</v>
      </c>
      <c r="B18" s="99">
        <v>1</v>
      </c>
      <c r="C18" s="102">
        <v>0.625</v>
      </c>
      <c r="D18" s="99">
        <v>1</v>
      </c>
      <c r="E18" s="102">
        <v>0.625</v>
      </c>
      <c r="F18" s="99">
        <v>1</v>
      </c>
      <c r="G18" s="99">
        <v>1</v>
      </c>
      <c r="H18" s="99">
        <v>1</v>
      </c>
      <c r="I18" s="102">
        <v>0.625</v>
      </c>
      <c r="J18" s="99">
        <v>1</v>
      </c>
      <c r="K18" s="99">
        <v>1</v>
      </c>
      <c r="L18" s="103">
        <v>1.6</v>
      </c>
      <c r="M18" s="103">
        <v>1.6</v>
      </c>
      <c r="N18" s="99">
        <v>1</v>
      </c>
      <c r="O18" s="99">
        <v>1</v>
      </c>
      <c r="P18" s="99">
        <v>1</v>
      </c>
      <c r="Q18" s="99">
        <v>1</v>
      </c>
      <c r="R18" s="102">
        <v>0.625</v>
      </c>
      <c r="S18" s="107">
        <v>1.6</v>
      </c>
      <c r="T18" s="99">
        <v>1</v>
      </c>
      <c r="V18" s="53" t="str">
        <v>草</v>
      </c>
      <c r="W18" s="93">
        <v>0.390625</v>
      </c>
      <c r="X18" s="54" t="str">
        <v>Mega蜥蜴王</v>
      </c>
      <c r="Y18" s="88">
        <v>7.80078125</v>
      </c>
      <c r="Z18" s="40"/>
      <c r="AA18" s="53" t="str">
        <v>龍</v>
      </c>
      <c r="AB18" s="54">
        <v>1.6</v>
      </c>
      <c r="AC18" s="54" t="str">
        <v>起源帕路奇亞</v>
      </c>
      <c r="AD18" s="98">
        <v>28.463999999999999</v>
      </c>
      <c r="AO18" s="3" t="s">
        <v>71</v>
      </c>
      <c r="AP18" s="59">
        <f t="shared" si="2"/>
        <v>1</v>
      </c>
      <c r="AQ18" s="3" t="s">
        <v>151</v>
      </c>
      <c r="AR18" s="86">
        <f t="shared" si="3"/>
        <v>22.27</v>
      </c>
      <c r="AS18" s="3">
        <v>22.27</v>
      </c>
    </row>
    <row r="19" spans="1:45" ht="17" customHeight="1">
      <c r="A19" s="100" t="s">
        <v>99</v>
      </c>
      <c r="B19" s="100">
        <v>1</v>
      </c>
      <c r="C19" s="105">
        <v>0.625</v>
      </c>
      <c r="D19" s="100">
        <v>1</v>
      </c>
      <c r="E19" s="100">
        <v>1</v>
      </c>
      <c r="F19" s="100">
        <v>1</v>
      </c>
      <c r="G19" s="100">
        <v>1</v>
      </c>
      <c r="H19" s="105">
        <v>0.625</v>
      </c>
      <c r="I19" s="100">
        <v>1</v>
      </c>
      <c r="J19" s="100">
        <v>1</v>
      </c>
      <c r="K19" s="100">
        <v>1</v>
      </c>
      <c r="L19" s="100">
        <v>1</v>
      </c>
      <c r="M19" s="100">
        <v>1</v>
      </c>
      <c r="N19" s="100">
        <v>1</v>
      </c>
      <c r="O19" s="109">
        <v>1.6</v>
      </c>
      <c r="P19" s="100">
        <v>1</v>
      </c>
      <c r="Q19" s="109">
        <v>1.6</v>
      </c>
      <c r="R19" s="105">
        <v>0.625</v>
      </c>
      <c r="S19" s="110">
        <v>1</v>
      </c>
      <c r="T19" s="99">
        <v>1</v>
      </c>
      <c r="V19" s="53" t="str">
        <v>地面</v>
      </c>
      <c r="W19" s="93">
        <v>0.39100000000000001</v>
      </c>
      <c r="X19" s="54" t="str">
        <v>Mega烈咬陸鯊</v>
      </c>
      <c r="Y19" s="88">
        <v>6.9793500000000011</v>
      </c>
      <c r="Z19" s="40"/>
      <c r="AA19" s="53" t="str">
        <v>龍</v>
      </c>
      <c r="AB19" s="54">
        <v>1.6</v>
      </c>
      <c r="AC19" s="54" t="str">
        <v>暴飛龍</v>
      </c>
      <c r="AD19" s="98">
        <v>28.463999999999999</v>
      </c>
      <c r="AO19" s="3" t="s">
        <v>99</v>
      </c>
      <c r="AP19" s="59">
        <f t="shared" si="2"/>
        <v>1.6</v>
      </c>
      <c r="AQ19" s="3" t="s">
        <v>150</v>
      </c>
      <c r="AR19" s="86">
        <f t="shared" si="3"/>
        <v>27.6</v>
      </c>
      <c r="AS19" s="3">
        <v>17.25</v>
      </c>
    </row>
    <row r="20" spans="1:45">
      <c r="A20" s="99" t="s">
        <v>119</v>
      </c>
      <c r="B20" s="99">
        <v>1</v>
      </c>
      <c r="C20" s="99">
        <v>1</v>
      </c>
      <c r="D20" s="99">
        <v>1</v>
      </c>
      <c r="E20" s="99">
        <v>1</v>
      </c>
      <c r="F20" s="99">
        <v>1</v>
      </c>
      <c r="G20" s="99">
        <v>1</v>
      </c>
      <c r="H20" s="99">
        <v>1</v>
      </c>
      <c r="I20" s="99">
        <v>1</v>
      </c>
      <c r="J20" s="99">
        <v>1</v>
      </c>
      <c r="K20" s="99">
        <v>1</v>
      </c>
      <c r="L20" s="99">
        <v>1</v>
      </c>
      <c r="M20" s="99">
        <v>1</v>
      </c>
      <c r="N20" s="99">
        <v>1</v>
      </c>
      <c r="O20" s="99">
        <v>1</v>
      </c>
      <c r="P20" s="99">
        <v>1</v>
      </c>
      <c r="Q20" s="99">
        <v>1</v>
      </c>
      <c r="R20" s="99">
        <v>1</v>
      </c>
      <c r="S20" s="99">
        <v>1</v>
      </c>
      <c r="T20" s="99">
        <v>1</v>
      </c>
      <c r="AA20" s="42" t="str">
        <v>龍</v>
      </c>
      <c r="AB20" s="39">
        <v>1.6</v>
      </c>
      <c r="AC20" s="39" t="str">
        <v>闇黑酋雷姆</v>
      </c>
      <c r="AD20" s="96">
        <v>28.288</v>
      </c>
      <c r="AO20" s="7" t="s">
        <v>42</v>
      </c>
      <c r="AP20" s="59">
        <f>INDEX($B$2:$T$20, MATCH(AO20, $A$2:$A$20, 0), MATCH($V$1, $B$1:$T$1, 0))*INDEX($B$2:$T$20, MATCH(AO20, $A$2:$A$20, 0), MATCH($W$1, $B$1:$T$1, 0))</f>
        <v>0.625</v>
      </c>
      <c r="AQ20" s="4" t="s">
        <v>196</v>
      </c>
      <c r="AR20" s="86">
        <f t="shared" si="3"/>
        <v>12.575000000000001</v>
      </c>
      <c r="AS20" s="7">
        <v>20.12</v>
      </c>
    </row>
    <row r="21" spans="1:45">
      <c r="AA21" s="40" t="str">
        <v>岩石</v>
      </c>
      <c r="AB21" s="3">
        <v>1.6</v>
      </c>
      <c r="AC21" s="3" t="str">
        <v>Mega蒂安希</v>
      </c>
      <c r="AD21" s="97">
        <v>27.616000000000003</v>
      </c>
      <c r="AO21" s="7" t="s">
        <v>198</v>
      </c>
      <c r="AP21" s="59">
        <f>INDEX($B$2:$T$20, MATCH(AO21, $A$2:$A$20, 0), MATCH($V$1, $B$1:$T$1, 0))*INDEX($B$2:$T$20, MATCH(AO21, $A$2:$A$20, 0), MATCH($W$1, $B$1:$T$1, 0))</f>
        <v>0.625</v>
      </c>
      <c r="AQ21" s="4" t="s">
        <v>197</v>
      </c>
      <c r="AR21" s="86">
        <f t="shared" si="3"/>
        <v>10.493749999999999</v>
      </c>
      <c r="AS21" s="7">
        <v>16.79</v>
      </c>
    </row>
    <row r="22" spans="1:45">
      <c r="AA22" s="53" t="str">
        <v>妖精</v>
      </c>
      <c r="AB22" s="54">
        <v>1.6</v>
      </c>
      <c r="AC22" s="54" t="str">
        <v>Mega沙奈朵</v>
      </c>
      <c r="AD22" s="98">
        <v>27.6</v>
      </c>
      <c r="AO22" s="7" t="s">
        <v>198</v>
      </c>
      <c r="AP22" s="59">
        <f>INDEX($B$2:$T$20, MATCH(AO22, $A$2:$A$20, 0), MATCH($V$1, $B$1:$T$1, 0))*INDEX($B$2:$T$20, MATCH(AO22, $A$2:$A$20, 0), MATCH($W$1, $B$1:$T$1, 0))</f>
        <v>0.625</v>
      </c>
      <c r="AQ22" s="4" t="s">
        <v>199</v>
      </c>
      <c r="AR22" s="86">
        <f t="shared" si="3"/>
        <v>10.637499999999999</v>
      </c>
      <c r="AS22" s="7">
        <v>17.02</v>
      </c>
    </row>
    <row r="23" spans="1:45">
      <c r="V23" s="3" t="s">
        <v>116</v>
      </c>
      <c r="W23" s="3" t="s">
        <v>114</v>
      </c>
      <c r="X23" s="3" t="s">
        <v>115</v>
      </c>
      <c r="Y23" s="3" t="s">
        <v>117</v>
      </c>
      <c r="AA23" s="40" t="str">
        <v>龍</v>
      </c>
      <c r="AB23" s="3">
        <v>1.6</v>
      </c>
      <c r="AC23" s="3" t="str">
        <v>烈空坐</v>
      </c>
      <c r="AD23" s="97">
        <v>27.504000000000005</v>
      </c>
      <c r="AO23" s="7" t="s">
        <v>198</v>
      </c>
      <c r="AP23" s="59">
        <f t="shared" ref="AP23:AP27" si="4">INDEX($B$2:$T$20, MATCH(AO23, $A$2:$A$20, 0), MATCH($V$1, $B$1:$T$1, 0))*INDEX($B$2:$T$20, MATCH(AO23, $A$2:$A$20, 0), MATCH($W$1, $B$1:$T$1, 0))</f>
        <v>0.625</v>
      </c>
      <c r="AQ23" s="4" t="s">
        <v>1451</v>
      </c>
      <c r="AR23" s="86">
        <f t="shared" si="3"/>
        <v>12.018750000000001</v>
      </c>
      <c r="AS23" s="86">
        <v>19.23</v>
      </c>
    </row>
    <row r="24" spans="1:45">
      <c r="V24" s="3" t="s">
        <v>73</v>
      </c>
      <c r="W24" s="3" t="s">
        <v>172</v>
      </c>
      <c r="X24" s="3" t="s">
        <v>44</v>
      </c>
      <c r="Y24" s="59">
        <f>INDEX($B$2:$T$20, MATCH(V24, $A$2:$A$20, 0), MATCH(W24, $B$1:$T$1, 0))*INDEX($B$2:$T$20, MATCH(V24, $A$2:$A$20, 0), MATCH(X24, $B$1:$T$1, 0))</f>
        <v>1</v>
      </c>
      <c r="AA24" s="53" t="str">
        <v>龍</v>
      </c>
      <c r="AB24" s="54">
        <v>1.6</v>
      </c>
      <c r="AC24" s="54" t="str">
        <v>起源帝牙盧卡</v>
      </c>
      <c r="AD24" s="98">
        <v>27.152000000000001</v>
      </c>
      <c r="AO24" s="7" t="s">
        <v>198</v>
      </c>
      <c r="AP24" s="59">
        <f t="shared" si="4"/>
        <v>0.625</v>
      </c>
      <c r="AQ24" s="4" t="s">
        <v>1452</v>
      </c>
      <c r="AR24" s="86">
        <f t="shared" ref="AR24:AR27" si="5">AS24*AP24</f>
        <v>9.3999999999999986</v>
      </c>
      <c r="AS24" s="7">
        <v>15.04</v>
      </c>
    </row>
    <row r="25" spans="1:45">
      <c r="D25" s="59"/>
      <c r="AA25" s="40" t="str">
        <v>龍</v>
      </c>
      <c r="AB25" s="3">
        <v>1.6</v>
      </c>
      <c r="AC25" s="3" t="str">
        <v>雙斧戰龍</v>
      </c>
      <c r="AD25" s="97">
        <v>27.072000000000003</v>
      </c>
      <c r="AO25" s="7" t="s">
        <v>198</v>
      </c>
      <c r="AP25" s="59">
        <f t="shared" si="4"/>
        <v>0.625</v>
      </c>
      <c r="AQ25" s="4" t="s">
        <v>1453</v>
      </c>
      <c r="AR25" s="86">
        <f t="shared" si="5"/>
        <v>11.262499999999999</v>
      </c>
      <c r="AS25" s="7">
        <v>18.02</v>
      </c>
    </row>
    <row r="26" spans="1:45">
      <c r="D26" s="59"/>
      <c r="AA26" s="53" t="str">
        <v>飛行</v>
      </c>
      <c r="AB26" s="54">
        <v>1</v>
      </c>
      <c r="AC26" s="54" t="str">
        <v>Mega烈空坐</v>
      </c>
      <c r="AD26" s="98">
        <v>26.05</v>
      </c>
      <c r="AO26" s="7" t="s">
        <v>198</v>
      </c>
      <c r="AP26" s="59">
        <f t="shared" si="4"/>
        <v>0.625</v>
      </c>
      <c r="AQ26" s="4" t="s">
        <v>804</v>
      </c>
      <c r="AR26" s="86">
        <f t="shared" si="5"/>
        <v>9.4312500000000004</v>
      </c>
      <c r="AS26" s="7">
        <v>15.09</v>
      </c>
    </row>
    <row r="27" spans="1:45">
      <c r="AA27" s="40" t="str">
        <v>龍</v>
      </c>
      <c r="AB27" s="3">
        <v>1.6</v>
      </c>
      <c r="AC27" s="3" t="str">
        <v>烈咬陸鯊</v>
      </c>
      <c r="AD27" s="97">
        <v>25.712000000000003</v>
      </c>
      <c r="AO27" s="7" t="s">
        <v>198</v>
      </c>
      <c r="AP27" s="59">
        <f t="shared" si="4"/>
        <v>0.625</v>
      </c>
      <c r="AQ27" s="4" t="s">
        <v>0</v>
      </c>
      <c r="AR27" s="86">
        <f t="shared" si="5"/>
        <v>8.7562499999999996</v>
      </c>
      <c r="AS27" s="7">
        <v>14.01</v>
      </c>
    </row>
    <row r="28" spans="1:45">
      <c r="AA28" s="53" t="str">
        <v>龍</v>
      </c>
      <c r="AB28" s="54">
        <v>1.6</v>
      </c>
      <c r="AC28" s="54" t="str">
        <v>帕路奇亞</v>
      </c>
      <c r="AD28" s="98">
        <v>25.456000000000003</v>
      </c>
      <c r="AO28" s="7" t="s">
        <v>70</v>
      </c>
      <c r="AP28" s="59">
        <f>INDEX($B$2:$T$20, MATCH(AO28, $A$2:$A$20, 0), MATCH($V$1, $B$1:$T$1, 0))*INDEX($B$2:$T$20, MATCH(AO28, $A$2:$A$20, 0), MATCH($W$1, $B$1:$T$1, 0))</f>
        <v>0.625</v>
      </c>
      <c r="AQ28" s="4" t="s">
        <v>196</v>
      </c>
      <c r="AR28" s="86">
        <f>AS28*AP28</f>
        <v>13.568750000000001</v>
      </c>
      <c r="AS28" s="7">
        <v>21.71</v>
      </c>
    </row>
    <row r="29" spans="1:45">
      <c r="AA29" s="40" t="str">
        <v>龍</v>
      </c>
      <c r="AB29" s="3">
        <v>1.6</v>
      </c>
      <c r="AC29" s="3" t="str">
        <v>Mega拉帝歐斯</v>
      </c>
      <c r="AD29" s="97">
        <v>25.103999999999999</v>
      </c>
      <c r="AO29" s="7" t="s">
        <v>70</v>
      </c>
      <c r="AP29" s="59">
        <f>INDEX($B$2:$T$20, MATCH(AO29, $A$2:$A$20, 0), MATCH($V$1, $B$1:$T$1, 0))*INDEX($B$2:$T$20, MATCH(AO29, $A$2:$A$20, 0), MATCH($W$1, $B$1:$T$1, 0))</f>
        <v>0.625</v>
      </c>
      <c r="AQ29" s="4" t="s">
        <v>200</v>
      </c>
      <c r="AR29" s="86">
        <f>AS29*AP29</f>
        <v>12.231249999999999</v>
      </c>
      <c r="AS29" s="7">
        <v>19.57</v>
      </c>
    </row>
    <row r="30" spans="1:45">
      <c r="AA30" s="53" t="str">
        <v>岩石</v>
      </c>
      <c r="AB30" s="54">
        <v>1.6</v>
      </c>
      <c r="AC30" s="54" t="str">
        <v>Mega班基拉斯</v>
      </c>
      <c r="AD30" s="98">
        <v>24.608000000000004</v>
      </c>
      <c r="AO30" s="7" t="s">
        <v>70</v>
      </c>
      <c r="AP30" s="59">
        <f>INDEX($B$2:$T$20, MATCH(AO30, $A$2:$A$20, 0), MATCH($V$1, $B$1:$T$1, 0))*INDEX($B$2:$T$20, MATCH(AO30, $A$2:$A$20, 0), MATCH($W$1, $B$1:$T$1, 0))</f>
        <v>0.625</v>
      </c>
      <c r="AQ30" s="7" t="s">
        <v>201</v>
      </c>
      <c r="AR30" s="86">
        <f>AS30*AP30</f>
        <v>10.637499999999999</v>
      </c>
      <c r="AS30" s="7">
        <v>17.02</v>
      </c>
    </row>
    <row r="31" spans="1:45">
      <c r="AA31" s="40" t="str">
        <v>岩石</v>
      </c>
      <c r="AB31" s="3">
        <v>1.6</v>
      </c>
      <c r="AC31" s="3" t="str">
        <v>Mega化石翼龍</v>
      </c>
      <c r="AD31" s="97">
        <v>24.448</v>
      </c>
      <c r="AO31" s="7" t="s">
        <v>70</v>
      </c>
      <c r="AP31" s="59">
        <f t="shared" ref="AP31:AP38" si="6">INDEX($B$2:$T$20, MATCH(AO31, $A$2:$A$20, 0), MATCH($V$1, $B$1:$T$1, 0))*INDEX($B$2:$T$20, MATCH(AO31, $A$2:$A$20, 0), MATCH($W$1, $B$1:$T$1, 0))</f>
        <v>0.625</v>
      </c>
      <c r="AQ31" s="7" t="s">
        <v>1455</v>
      </c>
      <c r="AR31" s="86">
        <f t="shared" ref="AR31:AR38" si="7">AS31*AP31</f>
        <v>10.049999999999999</v>
      </c>
      <c r="AS31" s="7">
        <v>16.079999999999998</v>
      </c>
    </row>
    <row r="32" spans="1:45">
      <c r="AA32" s="53" t="str">
        <v>龍</v>
      </c>
      <c r="AB32" s="54">
        <v>1.6</v>
      </c>
      <c r="AC32" s="54" t="str">
        <v>快龍</v>
      </c>
      <c r="AD32" s="98">
        <v>24.256</v>
      </c>
      <c r="AO32" s="7" t="s">
        <v>70</v>
      </c>
      <c r="AP32" s="59">
        <f t="shared" si="6"/>
        <v>0.625</v>
      </c>
      <c r="AQ32" s="7" t="s">
        <v>1456</v>
      </c>
      <c r="AR32" s="86">
        <f t="shared" si="7"/>
        <v>10.674999999999999</v>
      </c>
      <c r="AS32" s="7">
        <v>17.079999999999998</v>
      </c>
    </row>
    <row r="33" spans="27:45">
      <c r="AA33" s="40" t="str">
        <v>龍</v>
      </c>
      <c r="AB33" s="3">
        <v>1.6</v>
      </c>
      <c r="AC33" s="3" t="str">
        <v>帝牙盧卡</v>
      </c>
      <c r="AD33" s="97">
        <v>24.192</v>
      </c>
      <c r="AO33" s="7" t="s">
        <v>70</v>
      </c>
      <c r="AP33" s="59">
        <f t="shared" si="6"/>
        <v>0.625</v>
      </c>
      <c r="AQ33" s="7" t="s">
        <v>62</v>
      </c>
      <c r="AR33" s="86">
        <f t="shared" si="7"/>
        <v>8.5124999999999993</v>
      </c>
      <c r="AS33" s="7">
        <v>13.62</v>
      </c>
    </row>
    <row r="34" spans="27:45">
      <c r="AA34" s="53" t="str">
        <v>妖精</v>
      </c>
      <c r="AB34" s="54">
        <v>1.6</v>
      </c>
      <c r="AC34" s="54" t="str">
        <v>眷戀雲化身形態</v>
      </c>
      <c r="AD34" s="98">
        <v>23.584000000000003</v>
      </c>
      <c r="AO34" s="7" t="s">
        <v>70</v>
      </c>
      <c r="AP34" s="59">
        <f t="shared" si="6"/>
        <v>0.625</v>
      </c>
      <c r="AQ34" s="7" t="s">
        <v>1457</v>
      </c>
      <c r="AR34" s="86">
        <f t="shared" si="7"/>
        <v>8.2937499999999993</v>
      </c>
      <c r="AS34" s="7">
        <v>13.27</v>
      </c>
    </row>
    <row r="35" spans="27:45">
      <c r="AA35" s="40" t="str">
        <v>龍</v>
      </c>
      <c r="AB35" s="3">
        <v>1.6</v>
      </c>
      <c r="AC35" s="3" t="str">
        <v>Nega噴火龍X</v>
      </c>
      <c r="AD35" s="97">
        <v>22.64</v>
      </c>
      <c r="AO35" s="7" t="s">
        <v>70</v>
      </c>
      <c r="AP35" s="59">
        <f t="shared" si="6"/>
        <v>0.625</v>
      </c>
      <c r="AQ35" s="3" t="s">
        <v>146</v>
      </c>
      <c r="AR35" s="86">
        <f t="shared" si="7"/>
        <v>9.5</v>
      </c>
      <c r="AS35" s="94">
        <v>15.2</v>
      </c>
    </row>
    <row r="36" spans="27:45">
      <c r="AA36" s="53" t="str">
        <v>龍</v>
      </c>
      <c r="AB36" s="54">
        <v>1.6</v>
      </c>
      <c r="AC36" s="54" t="str">
        <v>戟脊龍</v>
      </c>
      <c r="AD36" s="98">
        <v>22.624000000000002</v>
      </c>
      <c r="AO36" s="7" t="s">
        <v>70</v>
      </c>
      <c r="AP36" s="59">
        <f t="shared" si="6"/>
        <v>0.625</v>
      </c>
      <c r="AQ36" s="7" t="s">
        <v>1458</v>
      </c>
      <c r="AR36" s="86">
        <f t="shared" si="7"/>
        <v>7.9812499999999993</v>
      </c>
      <c r="AS36" s="7">
        <v>12.77</v>
      </c>
    </row>
    <row r="37" spans="27:45">
      <c r="AA37" s="53" t="str">
        <v>一般</v>
      </c>
      <c r="AB37" s="54">
        <v>1</v>
      </c>
      <c r="AC37" s="54" t="str">
        <v>暗影雷吉</v>
      </c>
      <c r="AD37" s="98">
        <v>22.5</v>
      </c>
      <c r="AO37" s="7" t="s">
        <v>70</v>
      </c>
      <c r="AP37" s="59">
        <f t="shared" si="6"/>
        <v>0.625</v>
      </c>
      <c r="AQ37" s="7" t="s">
        <v>986</v>
      </c>
      <c r="AR37" s="86">
        <f t="shared" si="7"/>
        <v>7.9812499999999993</v>
      </c>
      <c r="AS37" s="3">
        <v>12.77</v>
      </c>
    </row>
    <row r="38" spans="27:45">
      <c r="AA38" s="42" t="str">
        <v>鋼</v>
      </c>
      <c r="AB38" s="39">
        <v>1</v>
      </c>
      <c r="AC38" s="39" t="str">
        <v>劍之王</v>
      </c>
      <c r="AD38" s="96">
        <v>22.27</v>
      </c>
      <c r="AO38" s="7" t="s">
        <v>70</v>
      </c>
      <c r="AP38" s="59">
        <f t="shared" si="6"/>
        <v>0.625</v>
      </c>
      <c r="AQ38" s="7" t="s">
        <v>1459</v>
      </c>
      <c r="AR38" s="86">
        <f t="shared" si="7"/>
        <v>8.1125000000000007</v>
      </c>
      <c r="AS38" s="7">
        <v>12.98</v>
      </c>
    </row>
    <row r="39" spans="27:45">
      <c r="AA39" s="40" t="str">
        <v>幽靈</v>
      </c>
      <c r="AB39" s="3">
        <v>1</v>
      </c>
      <c r="AC39" s="3" t="str">
        <v>奈克洛茲瑪</v>
      </c>
      <c r="AD39" s="97">
        <v>22.16</v>
      </c>
      <c r="AO39" s="7" t="s">
        <v>36</v>
      </c>
      <c r="AP39" s="59">
        <f>INDEX($B$2:$T$20, MATCH(AO39, $A$2:$A$20, 0), MATCH($V$1, $B$1:$T$1, 0))*INDEX($B$2:$T$20, MATCH(AO39, $A$2:$A$20, 0), MATCH($W$1, $B$1:$T$1, 0))</f>
        <v>0.625</v>
      </c>
      <c r="AQ39" s="7" t="s">
        <v>202</v>
      </c>
      <c r="AR39" s="86">
        <f>AS39*AP39</f>
        <v>10.956250000000001</v>
      </c>
      <c r="AS39" s="7">
        <v>17.53</v>
      </c>
    </row>
    <row r="40" spans="27:45">
      <c r="AA40" s="53" t="str">
        <v>鋼</v>
      </c>
      <c r="AB40" s="54">
        <v>1</v>
      </c>
      <c r="AC40" s="54" t="str">
        <v>盾之王</v>
      </c>
      <c r="AD40" s="98">
        <v>21.87</v>
      </c>
      <c r="AO40" s="7" t="s">
        <v>36</v>
      </c>
      <c r="AP40" s="59">
        <f>INDEX($B$2:$T$20, MATCH(AO40, $A$2:$A$20, 0), MATCH($V$1, $B$1:$T$1, 0))*INDEX($B$2:$T$20, MATCH(AO40, $A$2:$A$20, 0), MATCH($W$1, $B$1:$T$1, 0))</f>
        <v>0.625</v>
      </c>
      <c r="AQ40" s="7" t="s">
        <v>203</v>
      </c>
      <c r="AR40" s="86">
        <f>AS40*AP40</f>
        <v>10.11875</v>
      </c>
      <c r="AS40" s="7">
        <v>16.190000000000001</v>
      </c>
    </row>
    <row r="41" spans="27:45">
      <c r="AA41" s="40" t="str">
        <v>鋼</v>
      </c>
      <c r="AB41" s="3">
        <v>1</v>
      </c>
      <c r="AC41" s="3" t="str">
        <v>奈克洛茲瑪</v>
      </c>
      <c r="AD41" s="97">
        <v>21.35</v>
      </c>
      <c r="AO41" s="7" t="s">
        <v>36</v>
      </c>
      <c r="AP41" s="59">
        <f>INDEX($B$2:$T$20, MATCH(AO41, $A$2:$A$20, 0), MATCH($V$1, $B$1:$T$1, 0))*INDEX($B$2:$T$20, MATCH(AO41, $A$2:$A$20, 0), MATCH($W$1, $B$1:$T$1, 0))</f>
        <v>0.625</v>
      </c>
      <c r="AQ41" s="7" t="s">
        <v>204</v>
      </c>
      <c r="AR41" s="86">
        <f>AS41*AP41</f>
        <v>9.4312500000000004</v>
      </c>
      <c r="AS41" s="7">
        <v>15.09</v>
      </c>
    </row>
    <row r="42" spans="27:45">
      <c r="AA42" s="53" t="str">
        <v>妖精</v>
      </c>
      <c r="AB42" s="54">
        <v>1.6</v>
      </c>
      <c r="AC42" s="54" t="str">
        <v>哲爾尼亞斯</v>
      </c>
      <c r="AD42" s="98">
        <v>21.103999999999999</v>
      </c>
      <c r="AO42" s="7" t="s">
        <v>36</v>
      </c>
      <c r="AP42" s="59">
        <f>INDEX($B$2:$T$20, MATCH(AO42, $A$2:$A$20, 0), MATCH($V$1, $B$1:$T$1, 0))*INDEX($B$2:$T$20, MATCH(AO42, $A$2:$A$20, 0), MATCH($W$1, $B$1:$T$1, 0))</f>
        <v>0.625</v>
      </c>
      <c r="AQ42" s="7" t="s">
        <v>1460</v>
      </c>
      <c r="AR42" s="86">
        <f>AS42*AP42</f>
        <v>9.0874999999999986</v>
      </c>
      <c r="AS42" s="7">
        <v>14.54</v>
      </c>
    </row>
    <row r="43" spans="27:45">
      <c r="AA43" s="40" t="str">
        <v>妖精</v>
      </c>
      <c r="AB43" s="3">
        <v>1.6</v>
      </c>
      <c r="AC43" s="3" t="str">
        <v>沙奈朵</v>
      </c>
      <c r="AD43" s="97">
        <v>20.368000000000002</v>
      </c>
      <c r="AO43" s="7" t="s">
        <v>36</v>
      </c>
      <c r="AP43" s="59">
        <f t="shared" ref="AP43:AP52" si="8">INDEX($B$2:$T$20, MATCH(AO43, $A$2:$A$20, 0), MATCH($V$1, $B$1:$T$1, 0))*INDEX($B$2:$T$20, MATCH(AO43, $A$2:$A$20, 0), MATCH($W$1, $B$1:$T$1, 0))</f>
        <v>0.625</v>
      </c>
      <c r="AQ43" s="7" t="s">
        <v>1462</v>
      </c>
      <c r="AR43" s="86">
        <f t="shared" ref="AR43:AR52" si="9">AS43*AP43</f>
        <v>8.7562499999999996</v>
      </c>
      <c r="AS43" s="7">
        <v>14.01</v>
      </c>
    </row>
    <row r="44" spans="27:45">
      <c r="AA44" s="53" t="str">
        <v>超能力</v>
      </c>
      <c r="AB44" s="54">
        <v>1</v>
      </c>
      <c r="AC44" s="54" t="str">
        <v>Mega胡地</v>
      </c>
      <c r="AD44" s="98">
        <v>19.809999999999999</v>
      </c>
      <c r="AO44" s="7" t="s">
        <v>36</v>
      </c>
      <c r="AP44" s="59">
        <f t="shared" si="8"/>
        <v>0.625</v>
      </c>
      <c r="AQ44" s="7" t="s">
        <v>1463</v>
      </c>
      <c r="AR44" s="86">
        <f t="shared" si="9"/>
        <v>9.3500000000000014</v>
      </c>
      <c r="AS44" s="7">
        <v>14.96</v>
      </c>
    </row>
    <row r="45" spans="27:45">
      <c r="AA45" s="40" t="str">
        <v>幽靈</v>
      </c>
      <c r="AB45" s="3">
        <v>1</v>
      </c>
      <c r="AC45" s="3" t="str">
        <v>Mega耿鬼</v>
      </c>
      <c r="AD45" s="97">
        <v>19.809999999999999</v>
      </c>
      <c r="AO45" s="7" t="s">
        <v>36</v>
      </c>
      <c r="AP45" s="59">
        <f t="shared" si="8"/>
        <v>0.625</v>
      </c>
      <c r="AQ45" s="7" t="s">
        <v>1015</v>
      </c>
      <c r="AR45" s="86">
        <f t="shared" si="9"/>
        <v>8.8312500000000007</v>
      </c>
      <c r="AS45" s="7">
        <v>14.13</v>
      </c>
    </row>
    <row r="46" spans="27:45">
      <c r="AA46" s="53" t="str">
        <v>妖精</v>
      </c>
      <c r="AB46" s="54">
        <v>1.6</v>
      </c>
      <c r="AC46" s="54" t="str">
        <v>波克基斯</v>
      </c>
      <c r="AD46" s="98">
        <v>19.808000000000003</v>
      </c>
      <c r="AO46" s="7" t="s">
        <v>36</v>
      </c>
      <c r="AP46" s="59">
        <f t="shared" si="8"/>
        <v>0.625</v>
      </c>
      <c r="AQ46" s="7" t="s">
        <v>19</v>
      </c>
      <c r="AR46" s="86">
        <f t="shared" si="9"/>
        <v>8.7624999999999993</v>
      </c>
      <c r="AS46" s="7">
        <v>14.02</v>
      </c>
    </row>
    <row r="47" spans="27:45">
      <c r="AA47" s="40" t="str">
        <v>飛行</v>
      </c>
      <c r="AB47" s="3">
        <v>1</v>
      </c>
      <c r="AC47" s="3" t="str">
        <v>烈空坐</v>
      </c>
      <c r="AD47" s="97">
        <v>18.79</v>
      </c>
      <c r="AO47" s="7" t="s">
        <v>36</v>
      </c>
      <c r="AP47" s="59">
        <f t="shared" si="8"/>
        <v>0.625</v>
      </c>
      <c r="AQ47" s="7" t="s">
        <v>1464</v>
      </c>
      <c r="AR47" s="86">
        <f t="shared" si="9"/>
        <v>8.0875000000000004</v>
      </c>
      <c r="AS47" s="7">
        <v>12.94</v>
      </c>
    </row>
    <row r="48" spans="27:45">
      <c r="AA48" s="53" t="str">
        <v>超能力</v>
      </c>
      <c r="AB48" s="54">
        <v>1</v>
      </c>
      <c r="AC48" s="54" t="str">
        <v>超夢</v>
      </c>
      <c r="AD48" s="98">
        <v>18.39</v>
      </c>
      <c r="AO48" s="7" t="s">
        <v>36</v>
      </c>
      <c r="AP48" s="59">
        <f t="shared" si="8"/>
        <v>0.625</v>
      </c>
      <c r="AQ48" s="7" t="s">
        <v>1461</v>
      </c>
      <c r="AR48" s="86">
        <f t="shared" si="9"/>
        <v>8.03125</v>
      </c>
      <c r="AS48" s="7">
        <v>12.85</v>
      </c>
    </row>
    <row r="49" spans="27:45">
      <c r="AA49" s="40" t="str">
        <v>妖精</v>
      </c>
      <c r="AB49" s="3">
        <v>1.6</v>
      </c>
      <c r="AC49" s="3" t="str">
        <v>布魯皇</v>
      </c>
      <c r="AD49" s="97">
        <v>18.368000000000002</v>
      </c>
      <c r="AO49" s="7" t="s">
        <v>43</v>
      </c>
      <c r="AP49" s="59">
        <f t="shared" si="8"/>
        <v>1</v>
      </c>
      <c r="AQ49" s="4" t="s">
        <v>1081</v>
      </c>
      <c r="AR49" s="86">
        <f t="shared" si="9"/>
        <v>15.73</v>
      </c>
      <c r="AS49" s="7">
        <v>15.73</v>
      </c>
    </row>
    <row r="50" spans="27:45">
      <c r="AA50" s="53" t="str">
        <v>鋼</v>
      </c>
      <c r="AB50" s="54">
        <v>1</v>
      </c>
      <c r="AC50" s="54" t="str">
        <v>Mega巨金怪</v>
      </c>
      <c r="AD50" s="98">
        <v>18.239999999999998</v>
      </c>
      <c r="AO50" s="7" t="s">
        <v>43</v>
      </c>
      <c r="AP50" s="59">
        <f t="shared" si="8"/>
        <v>1</v>
      </c>
      <c r="AQ50" s="4" t="s">
        <v>1465</v>
      </c>
      <c r="AR50" s="86">
        <f t="shared" si="9"/>
        <v>15.71</v>
      </c>
      <c r="AS50" s="7">
        <v>15.71</v>
      </c>
    </row>
    <row r="51" spans="27:45">
      <c r="AA51" s="40" t="str">
        <v>妖精</v>
      </c>
      <c r="AB51" s="3">
        <v>1.6</v>
      </c>
      <c r="AC51" s="3" t="str">
        <v>仙子伊布</v>
      </c>
      <c r="AD51" s="97">
        <v>18.16</v>
      </c>
      <c r="AO51" s="7" t="s">
        <v>43</v>
      </c>
      <c r="AP51" s="59">
        <f t="shared" si="8"/>
        <v>1</v>
      </c>
      <c r="AQ51" s="4" t="s">
        <v>1466</v>
      </c>
      <c r="AR51" s="86">
        <f t="shared" si="9"/>
        <v>15.24</v>
      </c>
      <c r="AS51" s="7">
        <v>15.24</v>
      </c>
    </row>
    <row r="52" spans="27:45">
      <c r="AA52" s="53" t="str">
        <v>超能力</v>
      </c>
      <c r="AB52" s="54">
        <v>1</v>
      </c>
      <c r="AC52" s="54" t="str">
        <v>Mega艾路雷朵</v>
      </c>
      <c r="AD52" s="98">
        <v>18.11</v>
      </c>
      <c r="AO52" s="7" t="s">
        <v>43</v>
      </c>
      <c r="AP52" s="59">
        <f t="shared" si="8"/>
        <v>1</v>
      </c>
      <c r="AQ52" s="3" t="s">
        <v>692</v>
      </c>
      <c r="AR52" s="86">
        <f t="shared" si="9"/>
        <v>18.79</v>
      </c>
      <c r="AS52" s="7">
        <v>18.79</v>
      </c>
    </row>
    <row r="53" spans="27:45">
      <c r="AA53" s="40" t="str">
        <v>超能力</v>
      </c>
      <c r="AB53" s="3">
        <v>1</v>
      </c>
      <c r="AC53" s="3" t="str">
        <v>Mega沙奈朵</v>
      </c>
      <c r="AD53" s="97">
        <v>18.100000000000001</v>
      </c>
      <c r="AO53" s="7" t="s">
        <v>43</v>
      </c>
      <c r="AP53" s="59">
        <f>INDEX($B$2:$T$20, MATCH(AO53, $A$2:$A$20, 0), MATCH($V$1, $B$1:$T$1, 0))*INDEX($B$2:$T$20, MATCH(AO53, $A$2:$A$20, 0), MATCH($W$1, $B$1:$T$1, 0))</f>
        <v>1</v>
      </c>
      <c r="AQ53" s="7" t="s">
        <v>1467</v>
      </c>
      <c r="AR53" s="86">
        <f>AS53*AP53</f>
        <v>14.7</v>
      </c>
      <c r="AS53" s="7">
        <v>14.7</v>
      </c>
    </row>
    <row r="54" spans="27:45">
      <c r="AA54" s="53" t="str">
        <v>惡</v>
      </c>
      <c r="AB54" s="54">
        <v>1</v>
      </c>
      <c r="AC54" s="54" t="str">
        <v>Mega阿勃梭魯</v>
      </c>
      <c r="AD54" s="98">
        <v>17.95</v>
      </c>
      <c r="AO54" s="7" t="s">
        <v>43</v>
      </c>
      <c r="AP54" s="59">
        <f>INDEX($B$2:$T$20, MATCH(AO54, $A$2:$A$20, 0), MATCH($V$1, $B$1:$T$1, 0))*INDEX($B$2:$T$20, MATCH(AO54, $A$2:$A$20, 0), MATCH($W$1, $B$1:$T$1, 0))</f>
        <v>1</v>
      </c>
      <c r="AQ54" s="7" t="s">
        <v>206</v>
      </c>
      <c r="AR54" s="86">
        <f>AS54*AP54</f>
        <v>16.420000000000002</v>
      </c>
      <c r="AS54" s="7">
        <v>16.420000000000002</v>
      </c>
    </row>
    <row r="55" spans="27:45">
      <c r="AA55" s="53" t="str">
        <v>惡</v>
      </c>
      <c r="AB55" s="54">
        <v>1</v>
      </c>
      <c r="AC55" s="54" t="str">
        <v>Mega班基拉斯</v>
      </c>
      <c r="AD55" s="98">
        <v>17.88</v>
      </c>
      <c r="AO55" s="7" t="s">
        <v>208</v>
      </c>
      <c r="AP55" s="59">
        <f>INDEX($B$2:$T$20, MATCH(AO55, $A$2:$A$20, 0), MATCH($V$1, $B$1:$T$1, 0))*INDEX($B$2:$T$20, MATCH(AO55, $A$2:$A$20, 0), MATCH($W$1, $B$1:$T$1, 0))</f>
        <v>0.390625</v>
      </c>
      <c r="AQ55" s="7" t="s">
        <v>207</v>
      </c>
      <c r="AR55" s="86">
        <f>AS55*AP55</f>
        <v>6.54296875</v>
      </c>
      <c r="AS55" s="7">
        <v>16.75</v>
      </c>
    </row>
    <row r="56" spans="27:45">
      <c r="AA56" s="42" t="str">
        <v>超能力</v>
      </c>
      <c r="AB56" s="39">
        <v>1</v>
      </c>
      <c r="AC56" s="39" t="str">
        <v>Mega拉帝歐斯</v>
      </c>
      <c r="AD56" s="96">
        <v>17.88</v>
      </c>
      <c r="AO56" s="7" t="s">
        <v>208</v>
      </c>
      <c r="AP56" s="59">
        <f>INDEX($B$2:$T$20, MATCH(AO56, $A$2:$A$20, 0), MATCH($V$1, $B$1:$T$1, 0))*INDEX($B$2:$T$20, MATCH(AO56, $A$2:$A$20, 0), MATCH($W$1, $B$1:$T$1, 0))</f>
        <v>0.390625</v>
      </c>
      <c r="AQ56" s="7" t="s">
        <v>209</v>
      </c>
      <c r="AR56" s="86">
        <f>AS56*AP56</f>
        <v>6.14453125</v>
      </c>
      <c r="AS56" s="7">
        <v>15.73</v>
      </c>
    </row>
    <row r="57" spans="27:45">
      <c r="AA57" s="40" t="str">
        <v>毒</v>
      </c>
      <c r="AB57" s="3">
        <v>1</v>
      </c>
      <c r="AC57" s="3" t="str">
        <v>無極汰那</v>
      </c>
      <c r="AD57" s="97">
        <v>17.690000000000001</v>
      </c>
      <c r="AO57" s="7" t="s">
        <v>208</v>
      </c>
      <c r="AP57" s="59">
        <f t="shared" ref="AP57:AP59" si="10">INDEX($B$2:$T$20, MATCH(AO57, $A$2:$A$20, 0), MATCH($V$1, $B$1:$T$1, 0))*INDEX($B$2:$T$20, MATCH(AO57, $A$2:$A$20, 0), MATCH($W$1, $B$1:$T$1, 0))</f>
        <v>0.390625</v>
      </c>
      <c r="AQ57" s="7" t="s">
        <v>1469</v>
      </c>
      <c r="AR57" s="86">
        <f t="shared" ref="AR57:AR59" si="11">AS57*AP57</f>
        <v>5.51953125</v>
      </c>
      <c r="AS57" s="7">
        <v>14.13</v>
      </c>
    </row>
    <row r="58" spans="27:45">
      <c r="AA58" s="53" t="str">
        <v>超能力</v>
      </c>
      <c r="AB58" s="54">
        <v>1</v>
      </c>
      <c r="AC58" s="54" t="str">
        <v>胡帕</v>
      </c>
      <c r="AD58" s="98">
        <v>17.23</v>
      </c>
      <c r="AO58" s="7" t="s">
        <v>208</v>
      </c>
      <c r="AP58" s="59">
        <f t="shared" si="10"/>
        <v>0.390625</v>
      </c>
      <c r="AQ58" s="7" t="s">
        <v>1470</v>
      </c>
      <c r="AR58" s="86">
        <f t="shared" si="11"/>
        <v>5.8671875</v>
      </c>
      <c r="AS58" s="7">
        <v>15.02</v>
      </c>
    </row>
    <row r="59" spans="27:45">
      <c r="AA59" s="40" t="str">
        <v>幽靈</v>
      </c>
      <c r="AB59" s="3">
        <v>1</v>
      </c>
      <c r="AC59" s="3" t="str">
        <v>Mega詛咒娃娃</v>
      </c>
      <c r="AD59" s="97">
        <v>17.059999999999999</v>
      </c>
      <c r="AO59" s="7" t="s">
        <v>208</v>
      </c>
      <c r="AP59" s="59">
        <f t="shared" si="10"/>
        <v>0.390625</v>
      </c>
      <c r="AQ59" s="7" t="s">
        <v>1471</v>
      </c>
      <c r="AR59" s="86">
        <f t="shared" si="11"/>
        <v>6.08984375</v>
      </c>
      <c r="AS59" s="7">
        <v>15.59</v>
      </c>
    </row>
    <row r="60" spans="27:45">
      <c r="AA60" s="53" t="str">
        <v>電</v>
      </c>
      <c r="AB60" s="54">
        <v>1</v>
      </c>
      <c r="AC60" s="54" t="str">
        <v>雷吉艾勒奇</v>
      </c>
      <c r="AD60" s="98">
        <v>16.989999999999998</v>
      </c>
      <c r="AO60" s="7" t="s">
        <v>211</v>
      </c>
      <c r="AP60" s="59">
        <f>INDEX($B$2:$T$20, MATCH(AO60, $A$2:$A$20, 0), MATCH($V$1, $B$1:$T$1, 0))*INDEX($B$2:$T$20, MATCH(AO60, $A$2:$A$20, 0), MATCH($W$1, $B$1:$T$1, 0))</f>
        <v>1</v>
      </c>
      <c r="AQ60" s="7" t="s">
        <v>210</v>
      </c>
      <c r="AR60" s="86">
        <f>AS60*AP60</f>
        <v>16.63</v>
      </c>
      <c r="AS60" s="7">
        <v>16.63</v>
      </c>
    </row>
    <row r="61" spans="27:45">
      <c r="AA61" s="40" t="str">
        <v>電</v>
      </c>
      <c r="AB61" s="3">
        <v>1</v>
      </c>
      <c r="AC61" s="3" t="str">
        <v>電束木</v>
      </c>
      <c r="AD61" s="97">
        <v>16.89</v>
      </c>
      <c r="AO61" s="7" t="s">
        <v>211</v>
      </c>
      <c r="AP61" s="59">
        <f>INDEX($B$2:$T$20, MATCH(AO61, $A$2:$A$20, 0), MATCH($V$1, $B$1:$T$1, 0))*INDEX($B$2:$T$20, MATCH(AO61, $A$2:$A$20, 0), MATCH($W$1, $B$1:$T$1, 0))</f>
        <v>1</v>
      </c>
      <c r="AQ61" s="7" t="s">
        <v>212</v>
      </c>
      <c r="AR61" s="86">
        <f>AS61*AP61</f>
        <v>16.559999999999999</v>
      </c>
      <c r="AS61" s="7">
        <v>16.559999999999999</v>
      </c>
    </row>
    <row r="62" spans="27:45">
      <c r="AA62" s="53" t="str">
        <v>毒</v>
      </c>
      <c r="AB62" s="54">
        <v>1</v>
      </c>
      <c r="AC62" s="54" t="str">
        <v>Mega耿鬼</v>
      </c>
      <c r="AD62" s="98">
        <v>16.63</v>
      </c>
      <c r="AO62" s="7" t="s">
        <v>211</v>
      </c>
      <c r="AP62" s="59">
        <f>INDEX($B$2:$T$20, MATCH(AO62, $A$2:$A$20, 0), MATCH($V$1, $B$1:$T$1, 0))*INDEX($B$2:$T$20, MATCH(AO62, $A$2:$A$20, 0), MATCH($W$1, $B$1:$T$1, 0))</f>
        <v>1</v>
      </c>
      <c r="AQ62" s="7" t="s">
        <v>213</v>
      </c>
      <c r="AR62" s="86">
        <f>AS62*AP62</f>
        <v>14.69</v>
      </c>
      <c r="AS62" s="7">
        <v>14.69</v>
      </c>
    </row>
    <row r="63" spans="27:45">
      <c r="AA63" s="40" t="str">
        <v>電</v>
      </c>
      <c r="AB63" s="3">
        <v>1</v>
      </c>
      <c r="AC63" s="3" t="str">
        <v>Mega雷電獸</v>
      </c>
      <c r="AD63" s="97">
        <v>16.59</v>
      </c>
      <c r="AO63" s="7" t="s">
        <v>211</v>
      </c>
      <c r="AP63" s="59">
        <f t="shared" ref="AP63:AP70" si="12">INDEX($B$2:$T$20, MATCH(AO63, $A$2:$A$20, 0), MATCH($V$1, $B$1:$T$1, 0))*INDEX($B$2:$T$20, MATCH(AO63, $A$2:$A$20, 0), MATCH($W$1, $B$1:$T$1, 0))</f>
        <v>1</v>
      </c>
      <c r="AQ63" s="7" t="s">
        <v>1199</v>
      </c>
      <c r="AR63" s="86">
        <f t="shared" ref="AR63:AR70" si="13">AS63*AP63</f>
        <v>14.83</v>
      </c>
      <c r="AS63" s="7">
        <v>14.83</v>
      </c>
    </row>
    <row r="64" spans="27:45">
      <c r="AA64" s="53" t="str">
        <v>毒</v>
      </c>
      <c r="AB64" s="54">
        <v>1</v>
      </c>
      <c r="AC64" s="54" t="str">
        <v>Mega大針鋒</v>
      </c>
      <c r="AD64" s="98">
        <v>16.559999999999999</v>
      </c>
      <c r="AO64" s="7" t="s">
        <v>211</v>
      </c>
      <c r="AP64" s="59">
        <f t="shared" si="12"/>
        <v>1</v>
      </c>
      <c r="AQ64" s="7" t="s">
        <v>1472</v>
      </c>
      <c r="AR64" s="86">
        <f t="shared" si="13"/>
        <v>12.95</v>
      </c>
      <c r="AS64" s="7">
        <v>12.95</v>
      </c>
    </row>
    <row r="65" spans="27:45">
      <c r="AA65" s="40" t="str">
        <v>電</v>
      </c>
      <c r="AB65" s="3">
        <v>1</v>
      </c>
      <c r="AC65" s="3" t="str">
        <v>雷電雲-靈獸形態</v>
      </c>
      <c r="AD65" s="97">
        <v>16.48</v>
      </c>
      <c r="AO65" s="7" t="s">
        <v>211</v>
      </c>
      <c r="AP65" s="59">
        <f t="shared" si="12"/>
        <v>1</v>
      </c>
      <c r="AQ65" s="7" t="s">
        <v>1473</v>
      </c>
      <c r="AR65" s="86">
        <f t="shared" si="13"/>
        <v>12.13</v>
      </c>
      <c r="AS65" s="7">
        <v>12.13</v>
      </c>
    </row>
    <row r="66" spans="27:45">
      <c r="AA66" s="53" t="str">
        <v>飛行</v>
      </c>
      <c r="AB66" s="54">
        <v>1</v>
      </c>
      <c r="AC66" s="54" t="str">
        <v>Mega暴飛龍</v>
      </c>
      <c r="AD66" s="98">
        <v>16.420000000000002</v>
      </c>
      <c r="AO66" s="7" t="s">
        <v>215</v>
      </c>
      <c r="AP66" s="59">
        <f t="shared" si="12"/>
        <v>1</v>
      </c>
      <c r="AQ66" s="7" t="s">
        <v>1474</v>
      </c>
      <c r="AR66" s="86">
        <f t="shared" si="13"/>
        <v>16.48</v>
      </c>
      <c r="AS66" s="7">
        <v>16.48</v>
      </c>
    </row>
    <row r="67" spans="27:45">
      <c r="AA67" s="40" t="str">
        <v>超能力</v>
      </c>
      <c r="AB67" s="3">
        <v>1</v>
      </c>
      <c r="AC67" s="3" t="str">
        <v>Mega巨金怪</v>
      </c>
      <c r="AD67" s="97">
        <v>16.14</v>
      </c>
      <c r="AO67" s="7" t="s">
        <v>215</v>
      </c>
      <c r="AP67" s="59">
        <f t="shared" si="12"/>
        <v>1</v>
      </c>
      <c r="AQ67" s="7" t="s">
        <v>1475</v>
      </c>
      <c r="AR67" s="86">
        <f t="shared" si="13"/>
        <v>14.77</v>
      </c>
      <c r="AS67" s="7">
        <v>14.77</v>
      </c>
    </row>
    <row r="68" spans="27:45">
      <c r="AA68" s="53" t="str">
        <v>惡</v>
      </c>
      <c r="AB68" s="54">
        <v>1</v>
      </c>
      <c r="AC68" s="54" t="str">
        <v>Mega黑魯加</v>
      </c>
      <c r="AD68" s="98">
        <v>16.079999999999998</v>
      </c>
      <c r="AO68" s="7" t="s">
        <v>215</v>
      </c>
      <c r="AP68" s="59">
        <f t="shared" si="12"/>
        <v>1</v>
      </c>
      <c r="AQ68" s="7" t="s">
        <v>1476</v>
      </c>
      <c r="AR68" s="86">
        <f t="shared" si="13"/>
        <v>14.5</v>
      </c>
      <c r="AS68" s="94">
        <v>14.5</v>
      </c>
    </row>
    <row r="69" spans="27:45">
      <c r="AA69" s="40" t="str">
        <v>鋼</v>
      </c>
      <c r="AB69" s="3">
        <v>1</v>
      </c>
      <c r="AC69" s="3" t="str">
        <v>巨金怪</v>
      </c>
      <c r="AD69" s="97">
        <v>15.78</v>
      </c>
      <c r="AO69" s="7" t="s">
        <v>215</v>
      </c>
      <c r="AP69" s="59">
        <f t="shared" si="12"/>
        <v>1</v>
      </c>
      <c r="AQ69" s="7" t="s">
        <v>56</v>
      </c>
      <c r="AR69" s="86">
        <f t="shared" si="13"/>
        <v>13.81</v>
      </c>
      <c r="AS69" s="7">
        <v>13.81</v>
      </c>
    </row>
    <row r="70" spans="27:45">
      <c r="AA70" s="53" t="str">
        <v>飛行</v>
      </c>
      <c r="AB70" s="54">
        <v>1</v>
      </c>
      <c r="AC70" s="54" t="str">
        <v>伊裴爾塔爾</v>
      </c>
      <c r="AD70" s="98">
        <v>15.73</v>
      </c>
      <c r="AO70" s="7" t="s">
        <v>215</v>
      </c>
      <c r="AP70" s="59">
        <f t="shared" si="12"/>
        <v>1</v>
      </c>
      <c r="AQ70" s="7" t="s">
        <v>777</v>
      </c>
      <c r="AR70" s="86">
        <f t="shared" si="13"/>
        <v>13.49</v>
      </c>
      <c r="AS70" s="7">
        <v>13.49</v>
      </c>
    </row>
    <row r="71" spans="27:45">
      <c r="AA71" s="40" t="str">
        <v>飛行</v>
      </c>
      <c r="AB71" s="3">
        <v>1</v>
      </c>
      <c r="AC71" s="3" t="str">
        <v>Mega大比鳥</v>
      </c>
      <c r="AD71" s="97">
        <v>15.71</v>
      </c>
      <c r="AO71" s="7" t="s">
        <v>215</v>
      </c>
      <c r="AP71" s="59">
        <f t="shared" ref="AP71:AP78" si="14">INDEX($B$2:$T$20, MATCH(AO71, $A$2:$A$20, 0), MATCH($V$1, $B$1:$T$1, 0))*INDEX($B$2:$T$20, MATCH(AO71, $A$2:$A$20, 0), MATCH($W$1, $B$1:$T$1, 0))</f>
        <v>1</v>
      </c>
      <c r="AQ71" s="7" t="s">
        <v>214</v>
      </c>
      <c r="AR71" s="86">
        <f t="shared" ref="AR71:AR78" si="15">AS71*AP71</f>
        <v>16.989999999999998</v>
      </c>
      <c r="AS71" s="7">
        <v>16.989999999999998</v>
      </c>
    </row>
    <row r="72" spans="27:45">
      <c r="AA72" s="53" t="str">
        <v>電</v>
      </c>
      <c r="AB72" s="54">
        <v>1</v>
      </c>
      <c r="AC72" s="54" t="str">
        <v>捷克羅姆</v>
      </c>
      <c r="AD72" s="98">
        <v>15.69</v>
      </c>
      <c r="AO72" s="7" t="s">
        <v>215</v>
      </c>
      <c r="AP72" s="59">
        <f t="shared" si="14"/>
        <v>1</v>
      </c>
      <c r="AQ72" s="7" t="s">
        <v>216</v>
      </c>
      <c r="AR72" s="86">
        <f t="shared" si="15"/>
        <v>16.89</v>
      </c>
      <c r="AS72" s="7">
        <v>16.89</v>
      </c>
    </row>
    <row r="73" spans="27:45">
      <c r="AA73" s="53" t="str">
        <v>超能力</v>
      </c>
      <c r="AB73" s="54">
        <v>1</v>
      </c>
      <c r="AC73" s="54" t="str">
        <v>Mega拉帝亞斯</v>
      </c>
      <c r="AD73" s="98">
        <v>15.59</v>
      </c>
      <c r="AO73" s="7" t="s">
        <v>215</v>
      </c>
      <c r="AP73" s="59">
        <f t="shared" si="14"/>
        <v>1</v>
      </c>
      <c r="AQ73" s="7" t="s">
        <v>217</v>
      </c>
      <c r="AR73" s="86">
        <f t="shared" si="15"/>
        <v>15.69</v>
      </c>
      <c r="AS73" s="7">
        <v>15.69</v>
      </c>
    </row>
    <row r="74" spans="27:45">
      <c r="AA74" s="42" t="str">
        <v>幽靈</v>
      </c>
      <c r="AB74" s="39">
        <v>1</v>
      </c>
      <c r="AC74" s="39" t="str">
        <v>砰頭小丑</v>
      </c>
      <c r="AD74" s="96">
        <v>15.53</v>
      </c>
      <c r="AO74" s="7" t="s">
        <v>215</v>
      </c>
      <c r="AP74" s="59">
        <f t="shared" si="14"/>
        <v>1</v>
      </c>
      <c r="AQ74" s="7" t="s">
        <v>218</v>
      </c>
      <c r="AR74" s="86">
        <f t="shared" si="15"/>
        <v>14.43</v>
      </c>
      <c r="AS74" s="7">
        <v>14.43</v>
      </c>
    </row>
    <row r="75" spans="27:45">
      <c r="AA75" s="53" t="str">
        <v>飛行</v>
      </c>
      <c r="AB75" s="54">
        <v>1</v>
      </c>
      <c r="AC75" s="54" t="str">
        <v>銃嘴大鳥</v>
      </c>
      <c r="AD75" s="98">
        <v>15.24</v>
      </c>
      <c r="AO75" s="7" t="s">
        <v>220</v>
      </c>
      <c r="AP75" s="59">
        <f t="shared" si="14"/>
        <v>0.39100000000000001</v>
      </c>
      <c r="AQ75" s="7" t="s">
        <v>219</v>
      </c>
      <c r="AR75" s="86">
        <f t="shared" si="15"/>
        <v>7.5853999999999999</v>
      </c>
      <c r="AS75" s="94">
        <v>19.399999999999999</v>
      </c>
    </row>
    <row r="76" spans="27:45">
      <c r="AA76" s="3" t="str">
        <v>惡</v>
      </c>
      <c r="AB76" s="3">
        <v>1</v>
      </c>
      <c r="AC76" s="3" t="str">
        <v>三首惡龍</v>
      </c>
      <c r="AD76" s="86">
        <v>15.01</v>
      </c>
      <c r="AO76" s="7" t="s">
        <v>220</v>
      </c>
      <c r="AP76" s="59">
        <f t="shared" si="14"/>
        <v>0.39100000000000001</v>
      </c>
      <c r="AQ76" s="7" t="s">
        <v>221</v>
      </c>
      <c r="AR76" s="86">
        <f t="shared" si="15"/>
        <v>6.9050600000000006</v>
      </c>
      <c r="AS76" s="7">
        <v>17.66</v>
      </c>
    </row>
    <row r="77" spans="27:45">
      <c r="AA77" s="3" t="str">
        <v>惡</v>
      </c>
      <c r="AB77" s="3">
        <v>1</v>
      </c>
      <c r="AC77" s="3" t="str">
        <v>Mega暴飛龍</v>
      </c>
      <c r="AD77" s="86">
        <v>14.98</v>
      </c>
      <c r="AO77" s="7" t="s">
        <v>220</v>
      </c>
      <c r="AP77" s="59">
        <f t="shared" si="14"/>
        <v>0.39100000000000001</v>
      </c>
      <c r="AQ77" s="7" t="s">
        <v>202</v>
      </c>
      <c r="AR77" s="86">
        <f t="shared" si="15"/>
        <v>5.6851399999999996</v>
      </c>
      <c r="AS77" s="7">
        <v>14.54</v>
      </c>
    </row>
    <row r="78" spans="27:45">
      <c r="AA78" s="3" t="str">
        <v>毒</v>
      </c>
      <c r="AB78" s="3">
        <v>1</v>
      </c>
      <c r="AC78" s="3" t="str">
        <v>四顎針龍</v>
      </c>
      <c r="AD78" s="86">
        <v>14.83</v>
      </c>
      <c r="AO78" s="7" t="s">
        <v>220</v>
      </c>
      <c r="AP78" s="59">
        <f t="shared" si="14"/>
        <v>0.39100000000000001</v>
      </c>
      <c r="AQ78" s="7" t="s">
        <v>222</v>
      </c>
      <c r="AR78" s="86">
        <f t="shared" si="15"/>
        <v>5.8806399999999996</v>
      </c>
      <c r="AS78" s="7">
        <v>15.04</v>
      </c>
    </row>
    <row r="79" spans="27:45" ht="17" customHeight="1">
      <c r="AA79" s="3" t="str">
        <v>惡</v>
      </c>
      <c r="AB79" s="3">
        <v>1</v>
      </c>
      <c r="AC79" s="3" t="str">
        <v>班基拉斯</v>
      </c>
      <c r="AD79" s="86">
        <v>14.82</v>
      </c>
      <c r="AO79" s="7" t="s">
        <v>220</v>
      </c>
      <c r="AP79" s="59">
        <f t="shared" ref="AP79:AP87" si="16">INDEX($B$2:$T$20, MATCH(AO79, $A$2:$A$20, 0), MATCH($V$1, $B$1:$T$1, 0))*INDEX($B$2:$T$20, MATCH(AO79, $A$2:$A$20, 0), MATCH($W$1, $B$1:$T$1, 0))</f>
        <v>0.39100000000000001</v>
      </c>
      <c r="AQ79" s="95" t="s">
        <v>1478</v>
      </c>
      <c r="AR79" s="86">
        <f t="shared" ref="AR79:AR87" si="17">AS79*AP79</f>
        <v>6.4358600000000008</v>
      </c>
      <c r="AS79" s="7">
        <v>16.46</v>
      </c>
    </row>
    <row r="80" spans="27:45">
      <c r="AA80" s="3" t="str">
        <v>電</v>
      </c>
      <c r="AB80" s="3">
        <v>1</v>
      </c>
      <c r="AC80" s="3" t="str">
        <v>Mega電龍</v>
      </c>
      <c r="AD80" s="86">
        <v>14.77</v>
      </c>
      <c r="AO80" s="7" t="s">
        <v>220</v>
      </c>
      <c r="AP80" s="59">
        <f t="shared" si="16"/>
        <v>0.39100000000000001</v>
      </c>
      <c r="AQ80" s="7" t="s">
        <v>1479</v>
      </c>
      <c r="AR80" s="86">
        <f t="shared" si="17"/>
        <v>5.1416500000000003</v>
      </c>
      <c r="AS80" s="7">
        <v>13.15</v>
      </c>
    </row>
    <row r="81" spans="27:45">
      <c r="AA81" s="3" t="str">
        <v>幽靈</v>
      </c>
      <c r="AB81" s="3">
        <v>1</v>
      </c>
      <c r="AC81" s="3" t="str">
        <v>耿鬼</v>
      </c>
      <c r="AD81" s="86">
        <v>14.77</v>
      </c>
      <c r="AO81" s="7" t="s">
        <v>220</v>
      </c>
      <c r="AP81" s="59">
        <f t="shared" si="16"/>
        <v>0.39100000000000001</v>
      </c>
      <c r="AQ81" s="95" t="s">
        <v>1480</v>
      </c>
      <c r="AR81" s="86">
        <f t="shared" si="17"/>
        <v>5.4036200000000001</v>
      </c>
      <c r="AS81" s="7">
        <v>13.82</v>
      </c>
    </row>
    <row r="82" spans="27:45">
      <c r="AA82" s="3" t="str">
        <v>飛行</v>
      </c>
      <c r="AB82" s="3">
        <v>1</v>
      </c>
      <c r="AC82" s="3" t="str">
        <v>暴飛龍</v>
      </c>
      <c r="AD82" s="86">
        <v>14.7</v>
      </c>
      <c r="AO82" s="7" t="s">
        <v>220</v>
      </c>
      <c r="AP82" s="59">
        <f t="shared" si="16"/>
        <v>0.39100000000000001</v>
      </c>
      <c r="AQ82" s="7" t="s">
        <v>59</v>
      </c>
      <c r="AR82" s="86">
        <f t="shared" si="17"/>
        <v>5.4857300000000002</v>
      </c>
      <c r="AS82" s="7">
        <v>14.03</v>
      </c>
    </row>
    <row r="83" spans="27:45">
      <c r="AA83" s="3" t="str">
        <v>毒</v>
      </c>
      <c r="AB83" s="3">
        <v>1</v>
      </c>
      <c r="AC83" s="3" t="str">
        <v>虛吾伊德</v>
      </c>
      <c r="AD83" s="86">
        <v>14.69</v>
      </c>
      <c r="AO83" s="7" t="s">
        <v>220</v>
      </c>
      <c r="AP83" s="59">
        <f t="shared" si="16"/>
        <v>0.39100000000000001</v>
      </c>
      <c r="AQ83" s="7" t="s">
        <v>1481</v>
      </c>
      <c r="AR83" s="86">
        <f t="shared" si="17"/>
        <v>5.4974600000000002</v>
      </c>
      <c r="AS83" s="7">
        <v>14.06</v>
      </c>
    </row>
    <row r="84" spans="27:45">
      <c r="AA84" s="3" t="str">
        <v>幽靈</v>
      </c>
      <c r="AB84" s="3">
        <v>1</v>
      </c>
      <c r="AC84" s="3" t="str">
        <v>水晶燈火靈</v>
      </c>
      <c r="AD84" s="86">
        <v>14.67</v>
      </c>
      <c r="AO84" s="7" t="s">
        <v>224</v>
      </c>
      <c r="AP84" s="59">
        <f t="shared" si="16"/>
        <v>1</v>
      </c>
      <c r="AQ84" s="3" t="s">
        <v>140</v>
      </c>
      <c r="AR84" s="86">
        <f t="shared" si="17"/>
        <v>14.6</v>
      </c>
      <c r="AS84" s="94">
        <v>14.6</v>
      </c>
    </row>
    <row r="85" spans="27:45">
      <c r="AA85" s="3" t="str">
        <v>惡</v>
      </c>
      <c r="AB85" s="3">
        <v>1</v>
      </c>
      <c r="AC85" s="3" t="str">
        <v>達克萊伊</v>
      </c>
      <c r="AD85" s="86">
        <v>14.64</v>
      </c>
      <c r="AO85" s="7" t="s">
        <v>224</v>
      </c>
      <c r="AP85" s="59">
        <f t="shared" si="16"/>
        <v>1</v>
      </c>
      <c r="AQ85" s="3" t="s">
        <v>1483</v>
      </c>
      <c r="AR85" s="86">
        <f t="shared" si="17"/>
        <v>15.59</v>
      </c>
      <c r="AS85" s="7">
        <v>15.59</v>
      </c>
    </row>
    <row r="86" spans="27:45">
      <c r="AA86" s="3" t="str">
        <v>惡</v>
      </c>
      <c r="AB86" s="3">
        <v>1</v>
      </c>
      <c r="AC86" s="3" t="str">
        <v>達克萊伊</v>
      </c>
      <c r="AD86" s="86">
        <v>14.64</v>
      </c>
      <c r="AO86" s="7" t="s">
        <v>224</v>
      </c>
      <c r="AP86" s="59">
        <f t="shared" si="16"/>
        <v>1</v>
      </c>
      <c r="AQ86" s="7" t="s">
        <v>1482</v>
      </c>
      <c r="AR86" s="86">
        <f t="shared" si="17"/>
        <v>16.14</v>
      </c>
      <c r="AS86" s="7">
        <v>16.14</v>
      </c>
    </row>
    <row r="87" spans="27:45">
      <c r="AA87" s="3" t="str">
        <v>超能力</v>
      </c>
      <c r="AB87" s="3">
        <v>1</v>
      </c>
      <c r="AC87" s="3" t="str">
        <v>胡地</v>
      </c>
      <c r="AD87" s="86">
        <v>14.6</v>
      </c>
      <c r="AO87" s="7" t="s">
        <v>224</v>
      </c>
      <c r="AP87" s="59">
        <f t="shared" si="16"/>
        <v>1</v>
      </c>
      <c r="AQ87" s="7" t="s">
        <v>1086</v>
      </c>
      <c r="AR87" s="86">
        <f t="shared" si="17"/>
        <v>17.23</v>
      </c>
      <c r="AS87" s="7">
        <v>17.23</v>
      </c>
    </row>
    <row r="88" spans="27:45">
      <c r="AA88" s="3" t="str">
        <v>電</v>
      </c>
      <c r="AB88" s="3">
        <v>1</v>
      </c>
      <c r="AC88" s="3" t="str">
        <v>電擊魔獸</v>
      </c>
      <c r="AD88" s="86">
        <v>14.5</v>
      </c>
      <c r="AO88" s="7" t="s">
        <v>224</v>
      </c>
      <c r="AP88" s="59">
        <f t="shared" ref="AP88:AP93" si="18">INDEX($B$2:$T$20, MATCH(AO88, $A$2:$A$20, 0), MATCH($V$1, $B$1:$T$1, 0))*INDEX($B$2:$T$20, MATCH(AO88, $A$2:$A$20, 0), MATCH($W$1, $B$1:$T$1, 0))</f>
        <v>1</v>
      </c>
      <c r="AQ88" s="7" t="s">
        <v>223</v>
      </c>
      <c r="AR88" s="86">
        <f t="shared" ref="AR88:AR93" si="19">AS88*AP88</f>
        <v>18.39</v>
      </c>
      <c r="AS88" s="7">
        <v>18.39</v>
      </c>
    </row>
    <row r="89" spans="27:45">
      <c r="AA89" s="3" t="str">
        <v>電</v>
      </c>
      <c r="AB89" s="3">
        <v>1</v>
      </c>
      <c r="AC89" s="3" t="str">
        <v>雷公</v>
      </c>
      <c r="AD89" s="86">
        <v>14.43</v>
      </c>
      <c r="AO89" s="7" t="s">
        <v>224</v>
      </c>
      <c r="AP89" s="59">
        <f t="shared" si="18"/>
        <v>1</v>
      </c>
      <c r="AQ89" s="7" t="s">
        <v>225</v>
      </c>
      <c r="AR89" s="86">
        <f t="shared" si="19"/>
        <v>19.809999999999999</v>
      </c>
      <c r="AS89" s="7">
        <v>19.809999999999999</v>
      </c>
    </row>
    <row r="90" spans="27:45">
      <c r="AA90" s="3" t="str">
        <v>鋼</v>
      </c>
      <c r="AB90" s="3">
        <v>1</v>
      </c>
      <c r="AC90" s="3" t="str">
        <v>帝牙盧卡</v>
      </c>
      <c r="AD90" s="86">
        <v>14.31</v>
      </c>
      <c r="AO90" s="7" t="s">
        <v>224</v>
      </c>
      <c r="AP90" s="59">
        <f t="shared" si="18"/>
        <v>1</v>
      </c>
      <c r="AQ90" s="4" t="s">
        <v>150</v>
      </c>
      <c r="AR90" s="86">
        <f t="shared" si="19"/>
        <v>18.100000000000001</v>
      </c>
      <c r="AS90" s="94">
        <v>18.100000000000001</v>
      </c>
    </row>
    <row r="91" spans="27:45">
      <c r="AA91" s="3" t="str">
        <v>惡</v>
      </c>
      <c r="AB91" s="3">
        <v>1</v>
      </c>
      <c r="AC91" s="3" t="str">
        <v>Mega暴鯉龍</v>
      </c>
      <c r="AD91" s="86">
        <v>14.23</v>
      </c>
      <c r="AO91" s="7" t="s">
        <v>224</v>
      </c>
      <c r="AP91" s="59">
        <f t="shared" si="18"/>
        <v>1</v>
      </c>
      <c r="AQ91" s="4" t="s">
        <v>226</v>
      </c>
      <c r="AR91" s="86">
        <f t="shared" si="19"/>
        <v>17.88</v>
      </c>
      <c r="AS91" s="7">
        <v>17.88</v>
      </c>
    </row>
    <row r="92" spans="27:45">
      <c r="AA92" s="3" t="str">
        <v>鋼</v>
      </c>
      <c r="AB92" s="3">
        <v>1</v>
      </c>
      <c r="AC92" s="3" t="str">
        <v>起源帝牙盧卡</v>
      </c>
      <c r="AD92" s="86">
        <v>14.08</v>
      </c>
      <c r="AO92" s="7" t="s">
        <v>228</v>
      </c>
      <c r="AP92" s="59">
        <f t="shared" si="18"/>
        <v>1.6</v>
      </c>
      <c r="AQ92" s="7" t="s">
        <v>227</v>
      </c>
      <c r="AR92" s="86">
        <f t="shared" si="19"/>
        <v>27.616000000000003</v>
      </c>
      <c r="AS92" s="7">
        <v>17.260000000000002</v>
      </c>
    </row>
    <row r="93" spans="27:45">
      <c r="AA93" s="3" t="str">
        <v>惡</v>
      </c>
      <c r="AB93" s="3">
        <v>1</v>
      </c>
      <c r="AC93" s="3" t="str">
        <v>巨牙鯊</v>
      </c>
      <c r="AD93" s="86">
        <v>14.03</v>
      </c>
      <c r="AO93" s="7" t="s">
        <v>228</v>
      </c>
      <c r="AP93" s="59">
        <f t="shared" si="18"/>
        <v>1.6</v>
      </c>
      <c r="AQ93" s="7" t="s">
        <v>229</v>
      </c>
      <c r="AR93" s="86">
        <f t="shared" si="19"/>
        <v>24.448</v>
      </c>
      <c r="AS93" s="7">
        <v>15.28</v>
      </c>
    </row>
    <row r="94" spans="27:45">
      <c r="AA94" s="3" t="str">
        <v>格鬥</v>
      </c>
      <c r="AB94" s="3">
        <v>0.625</v>
      </c>
      <c r="AC94" s="3" t="str">
        <v>Mega路卡</v>
      </c>
      <c r="AD94" s="86">
        <v>14.018750000000001</v>
      </c>
      <c r="AO94" s="7" t="s">
        <v>231</v>
      </c>
      <c r="AP94" s="59">
        <f t="shared" ref="AP94:AP102" si="20">INDEX($B$2:$T$20, MATCH(AO94, $A$2:$A$20, 0), MATCH($V$1, $B$1:$T$1, 0))*INDEX($B$2:$T$20, MATCH(AO94, $A$2:$A$20, 0), MATCH($W$1, $B$1:$T$1, 0))</f>
        <v>2.5600000000000005</v>
      </c>
      <c r="AQ94" s="7" t="s">
        <v>263</v>
      </c>
      <c r="AR94" s="86">
        <f t="shared" ref="AR94:AR102" si="21">AS94*AP94</f>
        <v>33.126400000000004</v>
      </c>
      <c r="AS94" s="7">
        <v>12.94</v>
      </c>
    </row>
    <row r="95" spans="27:45">
      <c r="AA95" s="3" t="str">
        <v>鋼</v>
      </c>
      <c r="AB95" s="3">
        <v>1</v>
      </c>
      <c r="AC95" s="3" t="str">
        <v>蓋諾賽克特</v>
      </c>
      <c r="AD95" s="86">
        <v>13.84</v>
      </c>
      <c r="AO95" s="7" t="s">
        <v>231</v>
      </c>
      <c r="AP95" s="59">
        <f t="shared" si="20"/>
        <v>2.5600000000000005</v>
      </c>
      <c r="AQ95" s="7" t="s">
        <v>1455</v>
      </c>
      <c r="AR95" s="86">
        <f t="shared" si="21"/>
        <v>34.636800000000008</v>
      </c>
      <c r="AS95" s="7">
        <v>13.53</v>
      </c>
    </row>
    <row r="96" spans="27:45">
      <c r="AA96" s="3" t="str">
        <v>電</v>
      </c>
      <c r="AB96" s="3">
        <v>1</v>
      </c>
      <c r="AC96" s="3" t="str">
        <v>閃電鳥</v>
      </c>
      <c r="AD96" s="86">
        <v>13.81</v>
      </c>
      <c r="AO96" s="7" t="s">
        <v>231</v>
      </c>
      <c r="AP96" s="59">
        <f t="shared" si="20"/>
        <v>2.5600000000000005</v>
      </c>
      <c r="AQ96" s="7" t="s">
        <v>1479</v>
      </c>
      <c r="AR96" s="86">
        <f t="shared" si="21"/>
        <v>36.198400000000007</v>
      </c>
      <c r="AS96" s="7">
        <v>14.14</v>
      </c>
    </row>
    <row r="97" spans="27:45">
      <c r="AA97" s="3" t="str">
        <v>惡</v>
      </c>
      <c r="AB97" s="3">
        <v>1</v>
      </c>
      <c r="AC97" s="3" t="str">
        <v>暴飛龍</v>
      </c>
      <c r="AD97" s="86">
        <v>13.57</v>
      </c>
      <c r="AO97" s="7" t="s">
        <v>231</v>
      </c>
      <c r="AP97" s="59">
        <f t="shared" si="20"/>
        <v>2.5600000000000005</v>
      </c>
      <c r="AQ97" s="7" t="s">
        <v>720</v>
      </c>
      <c r="AR97" s="86">
        <f t="shared" si="21"/>
        <v>37.888000000000012</v>
      </c>
      <c r="AS97" s="7">
        <v>14.8</v>
      </c>
    </row>
    <row r="98" spans="27:45">
      <c r="AA98" s="3" t="str">
        <v>格鬥</v>
      </c>
      <c r="AB98" s="3">
        <v>0.625</v>
      </c>
      <c r="AC98" s="3" t="str">
        <v>Mega火焰雞</v>
      </c>
      <c r="AD98" s="86">
        <v>13.568750000000001</v>
      </c>
      <c r="AO98" s="7" t="s">
        <v>231</v>
      </c>
      <c r="AP98" s="59">
        <f t="shared" si="20"/>
        <v>2.5600000000000005</v>
      </c>
      <c r="AQ98" s="7" t="s">
        <v>1485</v>
      </c>
      <c r="AR98" s="86">
        <f t="shared" si="21"/>
        <v>43.468800000000009</v>
      </c>
      <c r="AS98" s="7">
        <v>16.98</v>
      </c>
    </row>
    <row r="99" spans="27:45">
      <c r="AA99" s="3" t="str">
        <v>電</v>
      </c>
      <c r="AB99" s="3">
        <v>1</v>
      </c>
      <c r="AC99" s="3" t="str">
        <v>自爆磁怪</v>
      </c>
      <c r="AD99" s="86">
        <v>13.49</v>
      </c>
      <c r="AO99" s="7" t="s">
        <v>231</v>
      </c>
      <c r="AP99" s="59">
        <f t="shared" si="20"/>
        <v>2.5600000000000005</v>
      </c>
      <c r="AQ99" s="7" t="s">
        <v>1484</v>
      </c>
      <c r="AR99" s="86">
        <f t="shared" si="21"/>
        <v>35.507200000000005</v>
      </c>
      <c r="AS99" s="7">
        <v>13.87</v>
      </c>
    </row>
    <row r="100" spans="27:45">
      <c r="AA100" s="3" t="str">
        <v>鋼</v>
      </c>
      <c r="AB100" s="3">
        <v>1</v>
      </c>
      <c r="AC100" s="3" t="str">
        <v>龍頭地鼠</v>
      </c>
      <c r="AD100" s="86">
        <v>13.43</v>
      </c>
      <c r="AO100" s="7" t="s">
        <v>231</v>
      </c>
      <c r="AP100" s="59">
        <f t="shared" si="20"/>
        <v>2.5600000000000005</v>
      </c>
      <c r="AQ100" s="7" t="s">
        <v>184</v>
      </c>
      <c r="AR100" s="86">
        <f t="shared" si="21"/>
        <v>32.512000000000008</v>
      </c>
      <c r="AS100" s="94">
        <v>12.7</v>
      </c>
    </row>
    <row r="101" spans="27:45">
      <c r="AA101" s="3" t="str">
        <v>惡</v>
      </c>
      <c r="AB101" s="3">
        <v>1</v>
      </c>
      <c r="AC101" s="3" t="str">
        <v>伊裴爾塔爾</v>
      </c>
      <c r="AD101" s="86">
        <v>13.34</v>
      </c>
      <c r="AO101" s="7" t="s">
        <v>231</v>
      </c>
      <c r="AP101" s="59">
        <f t="shared" si="20"/>
        <v>2.5600000000000005</v>
      </c>
      <c r="AQ101" s="7" t="s">
        <v>1487</v>
      </c>
      <c r="AR101" s="86">
        <f t="shared" si="21"/>
        <v>35.763200000000012</v>
      </c>
      <c r="AS101" s="94">
        <v>13.97</v>
      </c>
    </row>
    <row r="102" spans="27:45">
      <c r="AA102" s="3" t="str">
        <v>鋼</v>
      </c>
      <c r="AB102" s="3">
        <v>1</v>
      </c>
      <c r="AC102" s="3" t="str">
        <v>美錄梅塔</v>
      </c>
      <c r="AD102" s="86">
        <v>13.31</v>
      </c>
      <c r="AO102" s="7" t="s">
        <v>231</v>
      </c>
      <c r="AP102" s="59">
        <f t="shared" si="20"/>
        <v>2.5600000000000005</v>
      </c>
      <c r="AQ102" s="7" t="s">
        <v>1486</v>
      </c>
      <c r="AR102" s="86">
        <f t="shared" si="21"/>
        <v>34.585600000000007</v>
      </c>
      <c r="AS102" s="7">
        <v>13.51</v>
      </c>
    </row>
    <row r="103" spans="27:45">
      <c r="AA103" s="3" t="str">
        <v>鋼</v>
      </c>
      <c r="AB103" s="3">
        <v>1</v>
      </c>
      <c r="AC103" s="3" t="str">
        <v>Mega波士可多拉</v>
      </c>
      <c r="AD103" s="86">
        <v>13.29</v>
      </c>
      <c r="AO103" s="7" t="s">
        <v>231</v>
      </c>
      <c r="AP103" s="59">
        <f>INDEX($B$2:$T$20, MATCH(AO103, $A$2:$A$20, 0), MATCH($V$1, $B$1:$T$1, 0))*INDEX($B$2:$T$20, MATCH(AO103, $A$2:$A$20, 0), MATCH($W$1, $B$1:$T$1, 0))</f>
        <v>2.5600000000000005</v>
      </c>
      <c r="AQ103" s="7" t="s">
        <v>230</v>
      </c>
      <c r="AR103" s="86">
        <f>AS103*AP103</f>
        <v>34.662400000000005</v>
      </c>
      <c r="AS103" s="7">
        <v>13.54</v>
      </c>
    </row>
    <row r="104" spans="27:45">
      <c r="AA104" s="3" t="str">
        <v>鋼</v>
      </c>
      <c r="AB104" s="3">
        <v>1</v>
      </c>
      <c r="AC104" s="3" t="str">
        <v>Mega巨鉗螳螂</v>
      </c>
      <c r="AD104" s="86">
        <v>13.19</v>
      </c>
      <c r="AO104" s="7" t="s">
        <v>231</v>
      </c>
      <c r="AP104" s="59">
        <f>INDEX($B$2:$T$20, MATCH(AO104, $A$2:$A$20, 0), MATCH($V$1, $B$1:$T$1, 0))*INDEX($B$2:$T$20, MATCH(AO104, $A$2:$A$20, 0), MATCH($W$1, $B$1:$T$1, 0))</f>
        <v>2.5600000000000005</v>
      </c>
      <c r="AQ104" s="7" t="s">
        <v>232</v>
      </c>
      <c r="AR104" s="86">
        <f>AS104*AP104</f>
        <v>34.432000000000002</v>
      </c>
      <c r="AS104" s="7">
        <v>13.45</v>
      </c>
    </row>
    <row r="105" spans="27:45">
      <c r="AA105" s="3" t="str">
        <v>毒</v>
      </c>
      <c r="AB105" s="3">
        <v>1</v>
      </c>
      <c r="AC105" s="3" t="str">
        <v>萬針魚</v>
      </c>
      <c r="AD105" s="86">
        <v>12.95</v>
      </c>
      <c r="AO105" s="7" t="s">
        <v>234</v>
      </c>
      <c r="AP105" s="59">
        <f>INDEX($B$2:$T$20, MATCH(AO105, $A$2:$A$20, 0), MATCH($V$1, $B$1:$T$1, 0))*INDEX($B$2:$T$20, MATCH(AO105, $A$2:$A$20, 0), MATCH($W$1, $B$1:$T$1, 0))</f>
        <v>0.625</v>
      </c>
      <c r="AQ105" s="7" t="s">
        <v>233</v>
      </c>
      <c r="AR105" s="86">
        <f>AS105*AP105</f>
        <v>9.0625</v>
      </c>
      <c r="AS105" s="7">
        <v>14.5</v>
      </c>
    </row>
    <row r="106" spans="27:45">
      <c r="AA106" s="3" t="str">
        <v>火</v>
      </c>
      <c r="AB106" s="3">
        <v>0.625</v>
      </c>
      <c r="AC106" s="3" t="str">
        <v>Mega火焰雞</v>
      </c>
      <c r="AD106" s="86">
        <v>12.575000000000001</v>
      </c>
      <c r="AO106" s="7" t="s">
        <v>234</v>
      </c>
      <c r="AP106" s="59">
        <f>INDEX($B$2:$T$20, MATCH(AO106, $A$2:$A$20, 0), MATCH($V$1, $B$1:$T$1, 0))*INDEX($B$2:$T$20, MATCH(AO106, $A$2:$A$20, 0), MATCH($W$1, $B$1:$T$1, 0))</f>
        <v>0.625</v>
      </c>
      <c r="AQ106" s="7" t="s">
        <v>212</v>
      </c>
      <c r="AR106" s="86">
        <f>AS106*AP106</f>
        <v>9.53125</v>
      </c>
      <c r="AS106" s="7">
        <v>15.25</v>
      </c>
    </row>
    <row r="107" spans="27:45">
      <c r="AA107" s="3" t="str">
        <v>火</v>
      </c>
      <c r="AB107" s="3">
        <v>0.625</v>
      </c>
      <c r="AC107" s="3" t="str">
        <v>Nega噴火龍Y</v>
      </c>
      <c r="AD107" s="86">
        <v>12.3</v>
      </c>
      <c r="AO107" s="7" t="s">
        <v>234</v>
      </c>
      <c r="AP107" s="59">
        <f>INDEX($B$2:$T$20, MATCH(AO107, $A$2:$A$20, 0), MATCH($V$1, $B$1:$T$1, 0))*INDEX($B$2:$T$20, MATCH(AO107, $A$2:$A$20, 0), MATCH($W$1, $B$1:$T$1, 0))</f>
        <v>0.625</v>
      </c>
      <c r="AQ107" s="7" t="s">
        <v>201</v>
      </c>
      <c r="AR107" s="86">
        <f>AS107*AP107</f>
        <v>9.65</v>
      </c>
      <c r="AS107" s="7">
        <v>15.44</v>
      </c>
    </row>
    <row r="108" spans="27:45">
      <c r="AA108" s="3" t="str">
        <v>格鬥</v>
      </c>
      <c r="AB108" s="3">
        <v>0.625</v>
      </c>
      <c r="AC108" s="3" t="str">
        <v>凱路迪歐(覺悟)</v>
      </c>
      <c r="AD108" s="86">
        <v>12.231249999999999</v>
      </c>
      <c r="AO108" s="7" t="s">
        <v>234</v>
      </c>
      <c r="AP108" s="59">
        <f t="shared" ref="AP108:AP122" si="22">INDEX($B$2:$T$20, MATCH(AO108, $A$2:$A$20, 0), MATCH($V$1, $B$1:$T$1, 0))*INDEX($B$2:$T$20, MATCH(AO108, $A$2:$A$20, 0), MATCH($W$1, $B$1:$T$1, 0))</f>
        <v>0.625</v>
      </c>
      <c r="AQ108" s="7" t="s">
        <v>1488</v>
      </c>
      <c r="AR108" s="86">
        <f t="shared" ref="AR108:AR122" si="23">AS108*AP108</f>
        <v>9.1062499999999993</v>
      </c>
      <c r="AS108" s="7">
        <v>14.57</v>
      </c>
    </row>
    <row r="109" spans="27:45">
      <c r="AA109" s="3" t="str">
        <v>水</v>
      </c>
      <c r="AB109" s="3">
        <v>0.625</v>
      </c>
      <c r="AC109" s="3" t="str">
        <v>原始蓋歐卡</v>
      </c>
      <c r="AD109" s="86">
        <v>12.137500000000001</v>
      </c>
      <c r="AO109" s="7" t="s">
        <v>234</v>
      </c>
      <c r="AP109" s="59">
        <f t="shared" si="22"/>
        <v>0.625</v>
      </c>
      <c r="AQ109" s="7" t="s">
        <v>1489</v>
      </c>
      <c r="AR109" s="86">
        <f t="shared" si="23"/>
        <v>8.2937499999999993</v>
      </c>
      <c r="AS109" s="7">
        <v>13.27</v>
      </c>
    </row>
    <row r="110" spans="27:45">
      <c r="AA110" s="3" t="str">
        <v>毒</v>
      </c>
      <c r="AB110" s="3">
        <v>1</v>
      </c>
      <c r="AC110" s="3" t="str">
        <v>毒骷蛙</v>
      </c>
      <c r="AD110" s="86">
        <v>12.13</v>
      </c>
      <c r="AO110" s="7" t="s">
        <v>234</v>
      </c>
      <c r="AP110" s="59">
        <f t="shared" si="22"/>
        <v>0.625</v>
      </c>
      <c r="AQ110" s="7" t="s">
        <v>1490</v>
      </c>
      <c r="AR110" s="86">
        <f t="shared" si="23"/>
        <v>8.84375</v>
      </c>
      <c r="AS110" s="7">
        <v>14.15</v>
      </c>
    </row>
    <row r="111" spans="27:45">
      <c r="AA111" s="3" t="str">
        <v>火</v>
      </c>
      <c r="AB111" s="3">
        <v>0.625</v>
      </c>
      <c r="AC111" s="3" t="str">
        <v>砰頭小丑</v>
      </c>
      <c r="AD111" s="86">
        <v>12.018750000000001</v>
      </c>
      <c r="AO111" s="7" t="s">
        <v>235</v>
      </c>
      <c r="AP111" s="59">
        <f t="shared" si="22"/>
        <v>1.6</v>
      </c>
      <c r="AQ111" s="7" t="s">
        <v>1481</v>
      </c>
      <c r="AR111" s="86">
        <f t="shared" si="23"/>
        <v>25.712000000000003</v>
      </c>
      <c r="AS111" s="7">
        <v>16.07</v>
      </c>
    </row>
    <row r="112" spans="27:45">
      <c r="AA112" s="3" t="str">
        <v>火</v>
      </c>
      <c r="AB112" s="3">
        <v>0.625</v>
      </c>
      <c r="AC112" s="3" t="str">
        <v>暗影席多藍恩</v>
      </c>
      <c r="AD112" s="86">
        <v>11.262499999999999</v>
      </c>
      <c r="AO112" s="7" t="s">
        <v>235</v>
      </c>
      <c r="AP112" s="59">
        <f t="shared" si="22"/>
        <v>1.6</v>
      </c>
      <c r="AQ112" s="7" t="s">
        <v>956</v>
      </c>
      <c r="AR112" s="86">
        <f t="shared" si="23"/>
        <v>27.072000000000003</v>
      </c>
      <c r="AS112" s="7">
        <v>16.920000000000002</v>
      </c>
    </row>
    <row r="113" spans="27:45">
      <c r="AA113" s="3" t="str">
        <v>水</v>
      </c>
      <c r="AB113" s="3">
        <v>0.625</v>
      </c>
      <c r="AC113" s="3" t="str">
        <v>Mega巨沼怪</v>
      </c>
      <c r="AD113" s="86">
        <v>10.956250000000001</v>
      </c>
      <c r="AO113" s="7" t="s">
        <v>235</v>
      </c>
      <c r="AP113" s="59">
        <f t="shared" si="22"/>
        <v>1.6</v>
      </c>
      <c r="AQ113" s="7" t="s">
        <v>1491</v>
      </c>
      <c r="AR113" s="86">
        <f t="shared" si="23"/>
        <v>27.152000000000001</v>
      </c>
      <c r="AS113" s="7">
        <v>16.97</v>
      </c>
    </row>
    <row r="114" spans="27:45">
      <c r="AA114" s="3" t="str">
        <v>格鬥</v>
      </c>
      <c r="AB114" s="3">
        <v>0.625</v>
      </c>
      <c r="AC114" s="3" t="str">
        <v>路卡利歐</v>
      </c>
      <c r="AD114" s="86">
        <v>10.674999999999999</v>
      </c>
      <c r="AO114" s="7" t="s">
        <v>235</v>
      </c>
      <c r="AP114" s="59">
        <f t="shared" si="22"/>
        <v>1.6</v>
      </c>
      <c r="AQ114" s="4" t="s">
        <v>205</v>
      </c>
      <c r="AR114" s="86">
        <f t="shared" si="23"/>
        <v>27.504000000000005</v>
      </c>
      <c r="AS114" s="7">
        <v>17.190000000000001</v>
      </c>
    </row>
    <row r="115" spans="27:45">
      <c r="AA115" s="3" t="str">
        <v>火</v>
      </c>
      <c r="AB115" s="3">
        <v>0.625</v>
      </c>
      <c r="AC115" s="3" t="str">
        <v>Mega噴火龍X</v>
      </c>
      <c r="AD115" s="86">
        <v>10.637499999999999</v>
      </c>
      <c r="AO115" s="7" t="s">
        <v>235</v>
      </c>
      <c r="AP115" s="59">
        <f t="shared" si="22"/>
        <v>1.6</v>
      </c>
      <c r="AQ115" s="7" t="s">
        <v>1492</v>
      </c>
      <c r="AR115" s="86">
        <f t="shared" si="23"/>
        <v>28.463999999999999</v>
      </c>
      <c r="AS115" s="7">
        <v>17.79</v>
      </c>
    </row>
    <row r="116" spans="27:45">
      <c r="AA116" s="3" t="str">
        <v>格鬥</v>
      </c>
      <c r="AB116" s="3">
        <v>0.625</v>
      </c>
      <c r="AC116" s="3" t="str">
        <v>Mega赫拉克羅斯</v>
      </c>
      <c r="AD116" s="86">
        <v>10.637499999999999</v>
      </c>
      <c r="AO116" s="7" t="s">
        <v>235</v>
      </c>
      <c r="AP116" s="59">
        <f t="shared" si="22"/>
        <v>1.6</v>
      </c>
      <c r="AQ116" s="7" t="s">
        <v>1493</v>
      </c>
      <c r="AR116" s="86">
        <f t="shared" si="23"/>
        <v>25.456000000000003</v>
      </c>
      <c r="AS116" s="7">
        <v>15.91</v>
      </c>
    </row>
    <row r="117" spans="27:45">
      <c r="AA117" s="3" t="str">
        <v>火</v>
      </c>
      <c r="AB117" s="3">
        <v>0.625</v>
      </c>
      <c r="AC117" s="3" t="str">
        <v>萊希拉姆</v>
      </c>
      <c r="AD117" s="86">
        <v>10.493749999999999</v>
      </c>
      <c r="AO117" s="7" t="s">
        <v>235</v>
      </c>
      <c r="AP117" s="59">
        <f t="shared" si="22"/>
        <v>1.6</v>
      </c>
      <c r="AQ117" s="7" t="s">
        <v>800</v>
      </c>
      <c r="AR117" s="86">
        <f t="shared" si="23"/>
        <v>24.192</v>
      </c>
      <c r="AS117" s="7">
        <v>15.12</v>
      </c>
    </row>
    <row r="118" spans="27:45">
      <c r="AA118" s="3" t="str">
        <v>水</v>
      </c>
      <c r="AB118" s="3">
        <v>0.625</v>
      </c>
      <c r="AC118" s="3" t="str">
        <v>Mega水箭龜</v>
      </c>
      <c r="AD118" s="86">
        <v>10.11875</v>
      </c>
      <c r="AO118" s="7" t="s">
        <v>235</v>
      </c>
      <c r="AP118" s="59">
        <f t="shared" si="22"/>
        <v>1.6</v>
      </c>
      <c r="AQ118" s="7" t="s">
        <v>1484</v>
      </c>
      <c r="AR118" s="86">
        <f t="shared" si="23"/>
        <v>22.624000000000002</v>
      </c>
      <c r="AS118" s="7">
        <v>14.14</v>
      </c>
    </row>
    <row r="119" spans="27:45">
      <c r="AA119" s="3" t="str">
        <v>格鬥</v>
      </c>
      <c r="AB119" s="3">
        <v>0.625</v>
      </c>
      <c r="AC119" s="3" t="str">
        <v>代拉基翁</v>
      </c>
      <c r="AD119" s="86">
        <v>10.049999999999999</v>
      </c>
      <c r="AO119" s="7" t="s">
        <v>235</v>
      </c>
      <c r="AP119" s="59">
        <f t="shared" si="22"/>
        <v>1.6</v>
      </c>
      <c r="AQ119" s="7" t="s">
        <v>1495</v>
      </c>
      <c r="AR119" s="86">
        <f t="shared" si="23"/>
        <v>24.256</v>
      </c>
      <c r="AS119" s="7">
        <v>15.16</v>
      </c>
    </row>
    <row r="120" spans="27:45">
      <c r="AA120" s="3" t="str">
        <v>蟲</v>
      </c>
      <c r="AB120" s="3">
        <v>0.625</v>
      </c>
      <c r="AC120" s="3" t="str">
        <v>Mega凱羅斯</v>
      </c>
      <c r="AD120" s="86">
        <v>9.8312500000000007</v>
      </c>
      <c r="AO120" s="7" t="s">
        <v>235</v>
      </c>
      <c r="AP120" s="59">
        <f t="shared" si="22"/>
        <v>1.6</v>
      </c>
      <c r="AQ120" s="7" t="s">
        <v>226</v>
      </c>
      <c r="AR120" s="86">
        <f t="shared" si="23"/>
        <v>25.103999999999999</v>
      </c>
      <c r="AS120" s="7">
        <v>15.69</v>
      </c>
    </row>
    <row r="121" spans="27:45">
      <c r="AA121" s="3" t="str">
        <v>蟲</v>
      </c>
      <c r="AB121" s="3">
        <v>0.625</v>
      </c>
      <c r="AC121" s="3" t="str">
        <v>Mega赫拉克羅斯</v>
      </c>
      <c r="AD121" s="86">
        <v>9.65</v>
      </c>
      <c r="AO121" s="7" t="s">
        <v>235</v>
      </c>
      <c r="AP121" s="59">
        <f t="shared" si="22"/>
        <v>1.6</v>
      </c>
      <c r="AQ121" s="7" t="s">
        <v>1496</v>
      </c>
      <c r="AR121" s="86">
        <f t="shared" si="23"/>
        <v>28.463999999999999</v>
      </c>
      <c r="AS121" s="7">
        <v>17.79</v>
      </c>
    </row>
    <row r="122" spans="27:45">
      <c r="AA122" s="3" t="str">
        <v>蟲</v>
      </c>
      <c r="AB122" s="3">
        <v>0.625</v>
      </c>
      <c r="AC122" s="3" t="str">
        <v>Mega大針鋒</v>
      </c>
      <c r="AD122" s="86">
        <v>9.53125</v>
      </c>
      <c r="AO122" s="7" t="s">
        <v>235</v>
      </c>
      <c r="AP122" s="59">
        <f t="shared" si="22"/>
        <v>1.6</v>
      </c>
      <c r="AQ122" s="3" t="s">
        <v>1494</v>
      </c>
      <c r="AR122" s="86">
        <f t="shared" si="23"/>
        <v>22.64</v>
      </c>
      <c r="AS122" s="7">
        <v>14.15</v>
      </c>
    </row>
    <row r="123" spans="27:45">
      <c r="AA123" s="3" t="str">
        <v>格鬥</v>
      </c>
      <c r="AB123" s="3">
        <v>0.625</v>
      </c>
      <c r="AC123" s="3" t="str">
        <v>Mega艾路雷朵</v>
      </c>
      <c r="AD123" s="86">
        <v>9.5</v>
      </c>
      <c r="AO123" s="7" t="s">
        <v>235</v>
      </c>
      <c r="AP123" s="59">
        <f t="shared" ref="AP123:AP129" si="24">INDEX($B$2:$T$20, MATCH(AO123, $A$2:$A$20, 0), MATCH($V$1, $B$1:$T$1, 0))*INDEX($B$2:$T$20, MATCH(AO123, $A$2:$A$20, 0), MATCH($W$1, $B$1:$T$1, 0))</f>
        <v>1.6</v>
      </c>
      <c r="AQ123" s="4" t="s">
        <v>1468</v>
      </c>
      <c r="AR123" s="86">
        <f t="shared" ref="AR123:AR129" si="25">AS123*AP123</f>
        <v>36.016000000000005</v>
      </c>
      <c r="AS123" s="7">
        <v>22.51</v>
      </c>
    </row>
    <row r="124" spans="27:45">
      <c r="AA124" s="3" t="str">
        <v>火</v>
      </c>
      <c r="AB124" s="3">
        <v>0.625</v>
      </c>
      <c r="AC124" s="3" t="str">
        <v>席多藍恩</v>
      </c>
      <c r="AD124" s="86">
        <v>9.4312500000000004</v>
      </c>
      <c r="AO124" s="7" t="s">
        <v>235</v>
      </c>
      <c r="AP124" s="59">
        <f t="shared" si="24"/>
        <v>1.6</v>
      </c>
      <c r="AQ124" s="7" t="s">
        <v>236</v>
      </c>
      <c r="AR124" s="86">
        <f t="shared" si="25"/>
        <v>32.672000000000004</v>
      </c>
      <c r="AS124" s="7">
        <v>20.420000000000002</v>
      </c>
    </row>
    <row r="125" spans="27:45">
      <c r="AA125" s="3" t="str">
        <v>水</v>
      </c>
      <c r="AB125" s="3">
        <v>0.625</v>
      </c>
      <c r="AC125" s="3" t="str">
        <v>Mega暴鯉龍</v>
      </c>
      <c r="AD125" s="86">
        <v>9.4312500000000004</v>
      </c>
      <c r="AO125" s="7" t="s">
        <v>235</v>
      </c>
      <c r="AP125" s="59">
        <f t="shared" si="24"/>
        <v>1.6</v>
      </c>
      <c r="AQ125" s="95" t="s">
        <v>237</v>
      </c>
      <c r="AR125" s="86">
        <f t="shared" si="25"/>
        <v>28.288</v>
      </c>
      <c r="AS125" s="7">
        <v>17.68</v>
      </c>
    </row>
    <row r="126" spans="27:45">
      <c r="AA126" s="3" t="str">
        <v>火</v>
      </c>
      <c r="AB126" s="3">
        <v>0.625</v>
      </c>
      <c r="AC126" s="3" t="str">
        <v>暗影鳳王</v>
      </c>
      <c r="AD126" s="86">
        <v>9.3999999999999986</v>
      </c>
      <c r="AO126" s="7" t="s">
        <v>235</v>
      </c>
      <c r="AP126" s="59">
        <f t="shared" si="24"/>
        <v>1.6</v>
      </c>
      <c r="AQ126" s="7" t="s">
        <v>206</v>
      </c>
      <c r="AR126" s="86">
        <f t="shared" si="25"/>
        <v>28.592000000000002</v>
      </c>
      <c r="AS126" s="7">
        <v>17.87</v>
      </c>
    </row>
    <row r="127" spans="27:45">
      <c r="AA127" s="3" t="str">
        <v>水</v>
      </c>
      <c r="AB127" s="3">
        <v>0.625</v>
      </c>
      <c r="AC127" s="3" t="str">
        <v>蓋歐卡</v>
      </c>
      <c r="AD127" s="86">
        <v>9.3500000000000014</v>
      </c>
      <c r="AO127" s="7" t="s">
        <v>239</v>
      </c>
      <c r="AP127" s="59">
        <f t="shared" si="24"/>
        <v>1</v>
      </c>
      <c r="AQ127" s="7" t="s">
        <v>238</v>
      </c>
      <c r="AR127" s="86">
        <f t="shared" si="25"/>
        <v>15.53</v>
      </c>
      <c r="AS127" s="7">
        <v>15.53</v>
      </c>
    </row>
    <row r="128" spans="27:45">
      <c r="AA128" s="3" t="str">
        <v>蟲</v>
      </c>
      <c r="AB128" s="3">
        <v>0.625</v>
      </c>
      <c r="AC128" s="3" t="str">
        <v>Mega巨鉗螳螂</v>
      </c>
      <c r="AD128" s="86">
        <v>9.1062499999999993</v>
      </c>
      <c r="AO128" s="7" t="s">
        <v>239</v>
      </c>
      <c r="AP128" s="59">
        <f t="shared" si="24"/>
        <v>1</v>
      </c>
      <c r="AQ128" s="7" t="s">
        <v>240</v>
      </c>
      <c r="AR128" s="86">
        <f t="shared" si="25"/>
        <v>14.77</v>
      </c>
      <c r="AS128" s="7">
        <v>14.77</v>
      </c>
    </row>
    <row r="129" spans="27:45">
      <c r="AA129" s="3" t="str">
        <v>水</v>
      </c>
      <c r="AB129" s="3">
        <v>0.625</v>
      </c>
      <c r="AC129" s="3" t="str">
        <v>狂歡浪舞鴨</v>
      </c>
      <c r="AD129" s="86">
        <v>9.0874999999999986</v>
      </c>
      <c r="AO129" s="7" t="s">
        <v>239</v>
      </c>
      <c r="AP129" s="59">
        <f t="shared" si="24"/>
        <v>1</v>
      </c>
      <c r="AQ129" s="7" t="s">
        <v>210</v>
      </c>
      <c r="AR129" s="86">
        <f t="shared" si="25"/>
        <v>19.809999999999999</v>
      </c>
      <c r="AS129" s="7">
        <v>19.809999999999999</v>
      </c>
    </row>
    <row r="130" spans="27:45">
      <c r="AA130" s="3" t="str">
        <v>蟲</v>
      </c>
      <c r="AB130" s="3">
        <v>0.625</v>
      </c>
      <c r="AC130" s="3" t="str">
        <v>費洛美螂</v>
      </c>
      <c r="AD130" s="86">
        <v>9.0625</v>
      </c>
      <c r="AO130" s="7" t="s">
        <v>239</v>
      </c>
      <c r="AP130" s="59">
        <f t="shared" ref="AP130:AP137" si="26">INDEX($B$2:$T$20, MATCH(AO130, $A$2:$A$20, 0), MATCH($V$1, $B$1:$T$1, 0))*INDEX($B$2:$T$20, MATCH(AO130, $A$2:$A$20, 0), MATCH($W$1, $B$1:$T$1, 0))</f>
        <v>1</v>
      </c>
      <c r="AQ130" s="7" t="s">
        <v>1497</v>
      </c>
      <c r="AR130" s="86">
        <f t="shared" ref="AR130:AR137" si="27">AS130*AP130</f>
        <v>17.059999999999999</v>
      </c>
      <c r="AS130" s="7">
        <v>17.059999999999999</v>
      </c>
    </row>
    <row r="131" spans="27:45">
      <c r="AA131" s="3" t="str">
        <v>蟲</v>
      </c>
      <c r="AB131" s="3">
        <v>0.625</v>
      </c>
      <c r="AC131" s="3" t="str">
        <v>火神蛾</v>
      </c>
      <c r="AD131" s="86">
        <v>8.84375</v>
      </c>
      <c r="AO131" s="7" t="s">
        <v>239</v>
      </c>
      <c r="AP131" s="59">
        <f t="shared" si="26"/>
        <v>1</v>
      </c>
      <c r="AQ131" s="7" t="s">
        <v>1498</v>
      </c>
      <c r="AR131" s="86">
        <f t="shared" si="27"/>
        <v>14.67</v>
      </c>
      <c r="AS131" s="7">
        <v>14.67</v>
      </c>
    </row>
    <row r="132" spans="27:45">
      <c r="AA132" s="3" t="str">
        <v>水</v>
      </c>
      <c r="AB132" s="3">
        <v>0.625</v>
      </c>
      <c r="AC132" s="3" t="str">
        <v>甲賀忍蛙</v>
      </c>
      <c r="AD132" s="86">
        <v>8.8312500000000007</v>
      </c>
      <c r="AO132" s="7" t="s">
        <v>241</v>
      </c>
      <c r="AP132" s="59">
        <f t="shared" si="26"/>
        <v>1</v>
      </c>
      <c r="AQ132" s="7" t="s">
        <v>1496</v>
      </c>
      <c r="AR132" s="86">
        <f t="shared" si="27"/>
        <v>13.57</v>
      </c>
      <c r="AS132" s="7">
        <v>13.57</v>
      </c>
    </row>
    <row r="133" spans="27:45">
      <c r="AA133" s="3" t="str">
        <v>水</v>
      </c>
      <c r="AB133" s="3">
        <v>0.625</v>
      </c>
      <c r="AC133" s="3" t="str">
        <v>巨鉗蟹</v>
      </c>
      <c r="AD133" s="86">
        <v>8.7624999999999993</v>
      </c>
      <c r="AO133" s="7" t="s">
        <v>241</v>
      </c>
      <c r="AP133" s="59">
        <f t="shared" si="26"/>
        <v>1</v>
      </c>
      <c r="AQ133" s="7" t="s">
        <v>1502</v>
      </c>
      <c r="AR133" s="86">
        <f t="shared" si="27"/>
        <v>13.34</v>
      </c>
      <c r="AS133" s="7">
        <v>13.34</v>
      </c>
    </row>
    <row r="134" spans="27:45">
      <c r="AA134" s="3" t="str">
        <v>火</v>
      </c>
      <c r="AB134" s="3">
        <v>0.625</v>
      </c>
      <c r="AC134" s="3" t="str">
        <v>噴火龍</v>
      </c>
      <c r="AD134" s="86">
        <v>8.7562499999999996</v>
      </c>
      <c r="AO134" s="7" t="s">
        <v>241</v>
      </c>
      <c r="AP134" s="59">
        <f t="shared" si="26"/>
        <v>1</v>
      </c>
      <c r="AQ134" s="7" t="s">
        <v>1501</v>
      </c>
      <c r="AR134" s="86">
        <f t="shared" si="27"/>
        <v>14.03</v>
      </c>
      <c r="AS134" s="7">
        <v>14.03</v>
      </c>
    </row>
    <row r="135" spans="27:45">
      <c r="AA135" s="3" t="str">
        <v>水</v>
      </c>
      <c r="AB135" s="3">
        <v>0.625</v>
      </c>
      <c r="AC135" s="3" t="str">
        <v>西獅海壬</v>
      </c>
      <c r="AD135" s="86">
        <v>8.7562499999999996</v>
      </c>
      <c r="AO135" s="7" t="s">
        <v>241</v>
      </c>
      <c r="AP135" s="59">
        <f t="shared" si="26"/>
        <v>1</v>
      </c>
      <c r="AQ135" s="7" t="s">
        <v>811</v>
      </c>
      <c r="AR135" s="86">
        <f t="shared" si="27"/>
        <v>14.64</v>
      </c>
      <c r="AS135" s="7">
        <v>14.64</v>
      </c>
    </row>
    <row r="136" spans="27:45">
      <c r="AA136" s="3" t="str">
        <v>格鬥</v>
      </c>
      <c r="AB136" s="3">
        <v>0.625</v>
      </c>
      <c r="AC136" s="3" t="str">
        <v>怪力</v>
      </c>
      <c r="AD136" s="86">
        <v>8.5124999999999993</v>
      </c>
      <c r="AO136" s="7" t="s">
        <v>241</v>
      </c>
      <c r="AP136" s="59">
        <f t="shared" si="26"/>
        <v>1</v>
      </c>
      <c r="AQ136" s="7" t="s">
        <v>1500</v>
      </c>
      <c r="AR136" s="86">
        <f t="shared" si="27"/>
        <v>14.98</v>
      </c>
      <c r="AS136" s="7">
        <v>14.98</v>
      </c>
    </row>
    <row r="137" spans="27:45">
      <c r="AA137" s="3" t="str">
        <v>格鬥</v>
      </c>
      <c r="AB137" s="3">
        <v>0.625</v>
      </c>
      <c r="AC137" s="3" t="str">
        <v>鐵掌力士</v>
      </c>
      <c r="AD137" s="86">
        <v>8.2937499999999993</v>
      </c>
      <c r="AO137" s="7" t="s">
        <v>241</v>
      </c>
      <c r="AP137" s="59">
        <f t="shared" si="26"/>
        <v>1</v>
      </c>
      <c r="AQ137" s="7" t="s">
        <v>1499</v>
      </c>
      <c r="AR137" s="86">
        <f t="shared" si="27"/>
        <v>16.079999999999998</v>
      </c>
      <c r="AS137" s="7">
        <v>16.079999999999998</v>
      </c>
    </row>
    <row r="138" spans="27:45">
      <c r="AA138" s="3" t="str">
        <v>蟲</v>
      </c>
      <c r="AB138" s="3">
        <v>0.625</v>
      </c>
      <c r="AC138" s="3" t="str">
        <v>蓋諾賽克特</v>
      </c>
      <c r="AD138" s="86">
        <v>8.2937499999999993</v>
      </c>
      <c r="AO138" s="7" t="s">
        <v>241</v>
      </c>
      <c r="AP138" s="59">
        <f t="shared" ref="AP138:AP146" si="28">INDEX($B$2:$T$20, MATCH(AO138, $A$2:$A$20, 0), MATCH($V$1, $B$1:$T$1, 0))*INDEX($B$2:$T$20, MATCH(AO138, $A$2:$A$20, 0), MATCH($W$1, $B$1:$T$1, 0))</f>
        <v>1</v>
      </c>
      <c r="AQ138" s="7" t="s">
        <v>204</v>
      </c>
      <c r="AR138" s="86">
        <f t="shared" ref="AR138:AR146" si="29">AS138*AP138</f>
        <v>14.23</v>
      </c>
      <c r="AS138" s="7">
        <v>14.23</v>
      </c>
    </row>
    <row r="139" spans="27:45">
      <c r="AA139" s="3" t="str">
        <v>格鬥</v>
      </c>
      <c r="AB139" s="3">
        <v>0.625</v>
      </c>
      <c r="AC139" s="3" t="str">
        <v>爆肌蚊</v>
      </c>
      <c r="AD139" s="86">
        <v>8.1125000000000007</v>
      </c>
      <c r="AO139" s="7" t="s">
        <v>241</v>
      </c>
      <c r="AP139" s="59">
        <f t="shared" si="28"/>
        <v>1</v>
      </c>
      <c r="AQ139" s="7" t="s">
        <v>242</v>
      </c>
      <c r="AR139" s="86">
        <f t="shared" si="29"/>
        <v>14.64</v>
      </c>
      <c r="AS139" s="7">
        <v>14.64</v>
      </c>
    </row>
    <row r="140" spans="27:45">
      <c r="AA140" s="3" t="str">
        <v>水</v>
      </c>
      <c r="AB140" s="3">
        <v>0.625</v>
      </c>
      <c r="AC140" s="3" t="str">
        <v>大力鱷</v>
      </c>
      <c r="AD140" s="86">
        <v>8.0875000000000004</v>
      </c>
      <c r="AO140" s="7" t="s">
        <v>241</v>
      </c>
      <c r="AP140" s="59">
        <f t="shared" si="28"/>
        <v>1</v>
      </c>
      <c r="AQ140" s="7" t="s">
        <v>243</v>
      </c>
      <c r="AR140" s="86">
        <f t="shared" si="29"/>
        <v>14.82</v>
      </c>
      <c r="AS140" s="7">
        <v>14.82</v>
      </c>
    </row>
    <row r="141" spans="27:45">
      <c r="AA141" s="3" t="str">
        <v>水</v>
      </c>
      <c r="AB141" s="3">
        <v>0.625</v>
      </c>
      <c r="AC141" s="3" t="str">
        <v>帝王拿波</v>
      </c>
      <c r="AD141" s="86">
        <v>8.03125</v>
      </c>
      <c r="AO141" s="7" t="s">
        <v>241</v>
      </c>
      <c r="AP141" s="59">
        <f t="shared" si="28"/>
        <v>1</v>
      </c>
      <c r="AQ141" s="7" t="s">
        <v>244</v>
      </c>
      <c r="AR141" s="86">
        <f t="shared" si="29"/>
        <v>15.01</v>
      </c>
      <c r="AS141" s="7">
        <v>15.01</v>
      </c>
    </row>
    <row r="142" spans="27:45">
      <c r="AA142" s="3" t="str">
        <v>格鬥</v>
      </c>
      <c r="AB142" s="3">
        <v>0.625</v>
      </c>
      <c r="AC142" s="3" t="str">
        <v>勾帕路翁</v>
      </c>
      <c r="AD142" s="86">
        <v>7.9812499999999993</v>
      </c>
      <c r="AO142" s="7" t="s">
        <v>241</v>
      </c>
      <c r="AP142" s="59">
        <f t="shared" si="28"/>
        <v>1</v>
      </c>
      <c r="AQ142" s="7" t="s">
        <v>245</v>
      </c>
      <c r="AR142" s="86">
        <f t="shared" si="29"/>
        <v>17.95</v>
      </c>
      <c r="AS142" s="7">
        <v>17.95</v>
      </c>
    </row>
    <row r="143" spans="27:45">
      <c r="AA143" s="3" t="str">
        <v>格鬥</v>
      </c>
      <c r="AB143" s="3">
        <v>0.625</v>
      </c>
      <c r="AC143" s="3" t="str">
        <v>畢力吉翁</v>
      </c>
      <c r="AD143" s="86">
        <v>7.9812499999999993</v>
      </c>
      <c r="AO143" s="7" t="s">
        <v>247</v>
      </c>
      <c r="AP143" s="59">
        <f t="shared" si="28"/>
        <v>1</v>
      </c>
      <c r="AQ143" s="7" t="s">
        <v>246</v>
      </c>
      <c r="AR143" s="86">
        <f t="shared" si="29"/>
        <v>21.87</v>
      </c>
      <c r="AS143" s="7">
        <v>21.87</v>
      </c>
    </row>
    <row r="144" spans="27:45">
      <c r="AA144" s="3" t="str">
        <v>草</v>
      </c>
      <c r="AB144" s="3">
        <v>0.390625</v>
      </c>
      <c r="AC144" s="3" t="str">
        <v>Mega蜥蜴王</v>
      </c>
      <c r="AD144" s="86">
        <v>7.80078125</v>
      </c>
      <c r="AO144" s="7" t="s">
        <v>247</v>
      </c>
      <c r="AP144" s="59">
        <f t="shared" si="28"/>
        <v>1</v>
      </c>
      <c r="AQ144" s="4" t="s">
        <v>149</v>
      </c>
      <c r="AR144" s="86">
        <f t="shared" si="29"/>
        <v>21.35</v>
      </c>
      <c r="AS144" s="7">
        <v>21.35</v>
      </c>
    </row>
    <row r="145" spans="27:45">
      <c r="AA145" s="3" t="str">
        <v>地面</v>
      </c>
      <c r="AB145" s="3">
        <v>0.39100000000000001</v>
      </c>
      <c r="AC145" s="3" t="str">
        <v>原始固拉多</v>
      </c>
      <c r="AD145" s="86">
        <v>7.5853999999999999</v>
      </c>
      <c r="AO145" s="7" t="s">
        <v>247</v>
      </c>
      <c r="AP145" s="59">
        <f t="shared" si="28"/>
        <v>1</v>
      </c>
      <c r="AQ145" s="7" t="s">
        <v>248</v>
      </c>
      <c r="AR145" s="86">
        <f t="shared" si="29"/>
        <v>18.239999999999998</v>
      </c>
      <c r="AS145" s="7">
        <v>18.239999999999998</v>
      </c>
    </row>
    <row r="146" spans="27:45">
      <c r="AA146" s="3" t="str">
        <v>地面</v>
      </c>
      <c r="AB146" s="3">
        <v>0.39100000000000001</v>
      </c>
      <c r="AC146" s="3" t="str">
        <v>Mega烈咬陸鯊</v>
      </c>
      <c r="AD146" s="86">
        <v>6.9793500000000011</v>
      </c>
      <c r="AO146" s="7" t="s">
        <v>247</v>
      </c>
      <c r="AP146" s="59">
        <f t="shared" si="28"/>
        <v>1</v>
      </c>
      <c r="AQ146" s="7" t="s">
        <v>249</v>
      </c>
      <c r="AR146" s="86">
        <f t="shared" si="29"/>
        <v>15.78</v>
      </c>
      <c r="AS146" s="7">
        <v>15.78</v>
      </c>
    </row>
    <row r="147" spans="27:45">
      <c r="AA147" s="3" t="str">
        <v>地面</v>
      </c>
      <c r="AB147" s="3">
        <v>0.39100000000000001</v>
      </c>
      <c r="AC147" s="3" t="str">
        <v>暗影固拉多</v>
      </c>
      <c r="AD147" s="86">
        <v>6.9050600000000006</v>
      </c>
      <c r="AO147" s="7" t="s">
        <v>247</v>
      </c>
      <c r="AP147" s="59">
        <f t="shared" ref="AP147:AP153" si="30">INDEX($B$2:$T$20, MATCH(AO147, $A$2:$A$20, 0), MATCH($V$1, $B$1:$T$1, 0))*INDEX($B$2:$T$20, MATCH(AO147, $A$2:$A$20, 0), MATCH($W$1, $B$1:$T$1, 0))</f>
        <v>1</v>
      </c>
      <c r="AQ147" s="7" t="s">
        <v>1491</v>
      </c>
      <c r="AR147" s="86">
        <f t="shared" ref="AR147:AR154" si="31">AS147*AP147</f>
        <v>14.08</v>
      </c>
      <c r="AS147" s="7">
        <v>14.08</v>
      </c>
    </row>
    <row r="148" spans="27:45">
      <c r="AA148" s="3" t="str">
        <v>草</v>
      </c>
      <c r="AB148" s="3">
        <v>0.390625</v>
      </c>
      <c r="AC148" s="3" t="str">
        <v>紙御劍</v>
      </c>
      <c r="AD148" s="86">
        <v>6.54296875</v>
      </c>
      <c r="AO148" s="7" t="s">
        <v>247</v>
      </c>
      <c r="AP148" s="59">
        <f t="shared" si="30"/>
        <v>1</v>
      </c>
      <c r="AQ148" s="7" t="s">
        <v>800</v>
      </c>
      <c r="AR148" s="86">
        <f t="shared" si="31"/>
        <v>14.31</v>
      </c>
      <c r="AS148" s="7">
        <v>14.31</v>
      </c>
    </row>
    <row r="149" spans="27:45">
      <c r="AA149" s="3" t="str">
        <v>地面</v>
      </c>
      <c r="AB149" s="3">
        <v>0.39100000000000001</v>
      </c>
      <c r="AC149" s="3" t="str">
        <v>土地雲-靈獸形態</v>
      </c>
      <c r="AD149" s="86">
        <v>6.4358600000000008</v>
      </c>
      <c r="AO149" s="7" t="s">
        <v>247</v>
      </c>
      <c r="AP149" s="59">
        <f t="shared" si="30"/>
        <v>1</v>
      </c>
      <c r="AQ149" s="7" t="s">
        <v>1503</v>
      </c>
      <c r="AR149" s="86">
        <f t="shared" si="31"/>
        <v>13.29</v>
      </c>
      <c r="AS149" s="7">
        <v>13.29</v>
      </c>
    </row>
    <row r="150" spans="27:45">
      <c r="AA150" s="3" t="str">
        <v>草</v>
      </c>
      <c r="AB150" s="3">
        <v>0.390625</v>
      </c>
      <c r="AC150" s="3" t="str">
        <v>Mega妙蛙花</v>
      </c>
      <c r="AD150" s="86">
        <v>6.14453125</v>
      </c>
      <c r="AO150" s="7" t="s">
        <v>247</v>
      </c>
      <c r="AP150" s="59">
        <f t="shared" si="30"/>
        <v>1</v>
      </c>
      <c r="AQ150" s="7" t="s">
        <v>1504</v>
      </c>
      <c r="AR150" s="86">
        <f t="shared" si="31"/>
        <v>13.31</v>
      </c>
      <c r="AS150" s="7">
        <v>13.31</v>
      </c>
    </row>
    <row r="151" spans="27:45">
      <c r="AA151" s="3" t="str">
        <v>草</v>
      </c>
      <c r="AB151" s="3">
        <v>0.390625</v>
      </c>
      <c r="AC151" s="3" t="str">
        <v>謝米</v>
      </c>
      <c r="AD151" s="86">
        <v>6.08984375</v>
      </c>
      <c r="AO151" s="7" t="s">
        <v>247</v>
      </c>
      <c r="AP151" s="59">
        <f t="shared" si="30"/>
        <v>1</v>
      </c>
      <c r="AQ151" s="7" t="s">
        <v>1489</v>
      </c>
      <c r="AR151" s="86">
        <f t="shared" si="31"/>
        <v>13.84</v>
      </c>
      <c r="AS151" s="7">
        <v>13.84</v>
      </c>
    </row>
    <row r="152" spans="27:45">
      <c r="AA152" s="3" t="str">
        <v>地面</v>
      </c>
      <c r="AB152" s="3">
        <v>0.39100000000000001</v>
      </c>
      <c r="AC152" s="3" t="str">
        <v>固拉多</v>
      </c>
      <c r="AD152" s="86">
        <v>5.8806399999999996</v>
      </c>
      <c r="AO152" s="7" t="s">
        <v>247</v>
      </c>
      <c r="AP152" s="59">
        <f t="shared" si="30"/>
        <v>1</v>
      </c>
      <c r="AQ152" s="7" t="s">
        <v>1488</v>
      </c>
      <c r="AR152" s="86">
        <f t="shared" si="31"/>
        <v>13.19</v>
      </c>
      <c r="AS152" s="7">
        <v>13.19</v>
      </c>
    </row>
    <row r="153" spans="27:45">
      <c r="AA153" s="3" t="str">
        <v>草</v>
      </c>
      <c r="AB153" s="3">
        <v>0.390625</v>
      </c>
      <c r="AC153" s="3" t="str">
        <v>薩戮德</v>
      </c>
      <c r="AD153" s="86">
        <v>5.8671875</v>
      </c>
      <c r="AO153" s="7" t="s">
        <v>247</v>
      </c>
      <c r="AP153" s="59">
        <f t="shared" si="30"/>
        <v>1</v>
      </c>
      <c r="AQ153" s="7" t="s">
        <v>867</v>
      </c>
      <c r="AR153" s="86">
        <f t="shared" si="31"/>
        <v>13.43</v>
      </c>
      <c r="AS153" s="7">
        <v>13.43</v>
      </c>
    </row>
    <row r="154" spans="27:45">
      <c r="AA154" s="3" t="str">
        <v>地面</v>
      </c>
      <c r="AB154" s="3">
        <v>0.39100000000000001</v>
      </c>
      <c r="AC154" s="3" t="str">
        <v>Mega巨沼怪</v>
      </c>
      <c r="AD154" s="86">
        <v>5.6851399999999996</v>
      </c>
      <c r="AO154" s="7" t="s">
        <v>251</v>
      </c>
      <c r="AP154" s="59">
        <f t="shared" ref="AP154:AP159" si="32">INDEX($B$2:$T$20, MATCH(AO154, $A$2:$A$20, 0), MATCH($V$1, $B$1:$T$1, 0))*INDEX($B$2:$T$20, MATCH(AO154, $A$2:$A$20, 0), MATCH($W$1, $B$1:$T$1, 0))</f>
        <v>1.6</v>
      </c>
      <c r="AQ154" s="7" t="s">
        <v>1505</v>
      </c>
      <c r="AR154" s="86">
        <f t="shared" si="31"/>
        <v>18.368000000000002</v>
      </c>
      <c r="AS154" s="7">
        <v>11.48</v>
      </c>
    </row>
    <row r="155" spans="27:45">
      <c r="AA155" s="3" t="str">
        <v>草</v>
      </c>
      <c r="AB155" s="3">
        <v>0.390625</v>
      </c>
      <c r="AC155" s="3" t="str">
        <v>魔幻假面喵</v>
      </c>
      <c r="AD155" s="86">
        <v>5.51953125</v>
      </c>
      <c r="AO155" s="7" t="s">
        <v>251</v>
      </c>
      <c r="AP155" s="59">
        <f t="shared" si="32"/>
        <v>1.6</v>
      </c>
      <c r="AQ155" s="7" t="s">
        <v>250</v>
      </c>
      <c r="AR155" s="86">
        <f>AS155*AP155</f>
        <v>21.103999999999999</v>
      </c>
      <c r="AS155" s="7">
        <v>13.19</v>
      </c>
    </row>
    <row r="156" spans="27:45">
      <c r="AA156" s="3" t="str">
        <v>地面</v>
      </c>
      <c r="AB156" s="3">
        <v>0.39100000000000001</v>
      </c>
      <c r="AC156" s="3" t="str">
        <v>烈咬陸鯊</v>
      </c>
      <c r="AD156" s="86">
        <v>5.4974600000000002</v>
      </c>
      <c r="AO156" s="7" t="s">
        <v>251</v>
      </c>
      <c r="AP156" s="59">
        <f t="shared" si="32"/>
        <v>1.6</v>
      </c>
      <c r="AQ156" s="7" t="s">
        <v>252</v>
      </c>
      <c r="AR156" s="86">
        <f>AS156*AP156</f>
        <v>18.16</v>
      </c>
      <c r="AS156" s="7">
        <v>11.35</v>
      </c>
    </row>
    <row r="157" spans="27:45">
      <c r="AA157" s="3" t="str">
        <v>地面</v>
      </c>
      <c r="AB157" s="3">
        <v>0.39100000000000001</v>
      </c>
      <c r="AC157" s="3" t="str">
        <v>龍頭地鼠</v>
      </c>
      <c r="AD157" s="86">
        <v>5.4857300000000002</v>
      </c>
      <c r="AO157" s="7" t="s">
        <v>251</v>
      </c>
      <c r="AP157" s="59">
        <f t="shared" si="32"/>
        <v>1.6</v>
      </c>
      <c r="AQ157" s="7" t="s">
        <v>253</v>
      </c>
      <c r="AR157" s="86">
        <f>AS157*AP157</f>
        <v>19.808000000000003</v>
      </c>
      <c r="AS157" s="7">
        <v>12.38</v>
      </c>
    </row>
    <row r="158" spans="27:45">
      <c r="AA158" s="3" t="str">
        <v>地面</v>
      </c>
      <c r="AB158" s="3">
        <v>0.39100000000000001</v>
      </c>
      <c r="AC158" s="3" t="str">
        <v>土地雲-化身形態</v>
      </c>
      <c r="AD158" s="86">
        <v>5.4036200000000001</v>
      </c>
      <c r="AO158" s="7" t="s">
        <v>251</v>
      </c>
      <c r="AP158" s="59">
        <f t="shared" si="32"/>
        <v>1.6</v>
      </c>
      <c r="AQ158" s="7" t="s">
        <v>254</v>
      </c>
      <c r="AR158" s="86">
        <f>AS158*AP158</f>
        <v>23.584000000000003</v>
      </c>
      <c r="AS158" s="7">
        <v>14.74</v>
      </c>
    </row>
    <row r="159" spans="27:45">
      <c r="AA159" s="3" t="str">
        <v>地面</v>
      </c>
      <c r="AB159" s="3">
        <v>0.39100000000000001</v>
      </c>
      <c r="AC159" s="3" t="str">
        <v>超甲狂犀</v>
      </c>
      <c r="AD159" s="86">
        <v>5.1416500000000003</v>
      </c>
      <c r="AO159" s="7" t="s">
        <v>251</v>
      </c>
      <c r="AP159" s="59">
        <f t="shared" si="32"/>
        <v>1.6</v>
      </c>
      <c r="AQ159" s="7" t="s">
        <v>255</v>
      </c>
      <c r="AR159" s="86">
        <f>AS159*AP159</f>
        <v>20.368000000000002</v>
      </c>
      <c r="AS159" s="7">
        <v>12.73</v>
      </c>
    </row>
    <row r="160" spans="27:45">
      <c r="AO160" s="7" t="s">
        <v>251</v>
      </c>
      <c r="AP160" s="59">
        <f t="shared" ref="AP160:AP163" si="33">INDEX($B$2:$T$20, MATCH(AO160, $A$2:$A$20, 0), MATCH($V$1, $B$1:$T$1, 0))*INDEX($B$2:$T$20, MATCH(AO160, $A$2:$A$20, 0), MATCH($W$1, $B$1:$T$1, 0))</f>
        <v>1.6</v>
      </c>
      <c r="AQ160" s="3" t="s">
        <v>53</v>
      </c>
      <c r="AR160" s="86">
        <f t="shared" ref="AR160:AR163" si="34">AS160*AP160</f>
        <v>19.920000000000002</v>
      </c>
      <c r="AS160" s="3">
        <v>12.45</v>
      </c>
    </row>
    <row r="161" spans="41:45">
      <c r="AO161" s="7" t="s">
        <v>251</v>
      </c>
      <c r="AP161" s="59">
        <f t="shared" si="33"/>
        <v>1.6</v>
      </c>
      <c r="AQ161" s="3" t="s">
        <v>1506</v>
      </c>
      <c r="AR161" s="86">
        <f t="shared" si="34"/>
        <v>21.664000000000001</v>
      </c>
      <c r="AS161" s="3">
        <v>13.54</v>
      </c>
    </row>
    <row r="162" spans="41:45">
      <c r="AO162" s="7" t="s">
        <v>251</v>
      </c>
      <c r="AP162" s="59">
        <f t="shared" si="33"/>
        <v>1.6</v>
      </c>
      <c r="AQ162" s="3" t="s">
        <v>1507</v>
      </c>
      <c r="AR162" s="86">
        <f t="shared" si="34"/>
        <v>21.808000000000003</v>
      </c>
      <c r="AS162" s="3">
        <v>13.63</v>
      </c>
    </row>
    <row r="163" spans="41:45">
      <c r="AO163" s="7" t="s">
        <v>251</v>
      </c>
      <c r="AP163" s="59">
        <f t="shared" si="33"/>
        <v>1.6</v>
      </c>
      <c r="AQ163" s="3" t="s">
        <v>1508</v>
      </c>
      <c r="AR163" s="86">
        <f t="shared" si="34"/>
        <v>21.344000000000001</v>
      </c>
      <c r="AS163" s="3">
        <v>13.34</v>
      </c>
    </row>
  </sheetData>
  <dataConsolidate/>
  <phoneticPr fontId="1" type="noConversion"/>
  <dataValidations count="2">
    <dataValidation type="list" allowBlank="1" showInputMessage="1" showErrorMessage="1" prompt="蘋果,香蕉,葡萄,西瓜,芒果" sqref="J26" xr:uid="{EF4571C8-5A2A-4B4E-8E0F-788724244B57}">
      <formula1>"蘋果,香蕉,葡萄,西瓜,芒果"</formula1>
    </dataValidation>
    <dataValidation type="list" allowBlank="1" showInputMessage="1" showErrorMessage="1" sqref="V24:X24 V1:W1" xr:uid="{AC9EA968-3732-4A33-91C6-388B370984AB}">
      <formula1>$A$2:$A$20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C914-E549-418B-AFA2-F4C5650A33B8}">
  <sheetPr codeName="工作表4"/>
  <dimension ref="A1:CH35"/>
  <sheetViews>
    <sheetView topLeftCell="BN1" zoomScaleNormal="100" workbookViewId="0">
      <selection activeCell="BS2" sqref="BS2:BV2"/>
    </sheetView>
  </sheetViews>
  <sheetFormatPr defaultColWidth="9.90625" defaultRowHeight="17"/>
  <cols>
    <col min="1" max="1" width="13.90625" style="4" customWidth="1"/>
    <col min="2" max="2" width="9.90625" style="4"/>
    <col min="3" max="3" width="13" style="7" bestFit="1" customWidth="1"/>
    <col min="4" max="5" width="9.90625" style="2"/>
    <col min="6" max="6" width="13.90625" style="7" bestFit="1" customWidth="1"/>
    <col min="7" max="7" width="9.90625" style="4"/>
    <col min="8" max="8" width="13" style="7" bestFit="1" customWidth="1"/>
    <col min="9" max="9" width="9.90625" style="7"/>
    <col min="10" max="10" width="9.90625" style="2"/>
    <col min="11" max="11" width="13.90625" style="2" customWidth="1"/>
    <col min="12" max="12" width="9.90625" style="2"/>
    <col min="13" max="13" width="13" style="2" customWidth="1"/>
    <col min="14" max="15" width="9.90625" style="2"/>
    <col min="16" max="16" width="13.90625" style="2" customWidth="1"/>
    <col min="17" max="17" width="9.90625" style="2"/>
    <col min="18" max="18" width="13" style="2" bestFit="1" customWidth="1"/>
    <col min="19" max="20" width="9.90625" style="2"/>
    <col min="21" max="21" width="13.90625" style="2" customWidth="1"/>
    <col min="22" max="22" width="9.90625" style="2"/>
    <col min="23" max="23" width="13" style="2" bestFit="1" customWidth="1"/>
    <col min="24" max="25" width="9.90625" style="2"/>
    <col min="26" max="26" width="13.90625" style="2" customWidth="1"/>
    <col min="27" max="27" width="9.90625" style="2"/>
    <col min="28" max="28" width="13" style="2" bestFit="1" customWidth="1"/>
    <col min="29" max="30" width="9.90625" style="2"/>
    <col min="31" max="31" width="13.90625" style="2" customWidth="1"/>
    <col min="32" max="32" width="9.90625" style="4"/>
    <col min="33" max="33" width="13" style="4" bestFit="1" customWidth="1"/>
    <col min="34" max="35" width="9.90625" style="2"/>
    <col min="36" max="36" width="13.90625" style="2" customWidth="1"/>
    <col min="37" max="37" width="9.90625" style="2"/>
    <col min="38" max="38" width="13" style="2" bestFit="1" customWidth="1"/>
    <col min="39" max="40" width="9.90625" style="2"/>
    <col min="41" max="41" width="13.90625" style="2" customWidth="1"/>
    <col min="42" max="42" width="9.90625" style="2"/>
    <col min="43" max="43" width="13" style="2" bestFit="1" customWidth="1"/>
    <col min="44" max="45" width="9.90625" style="2"/>
    <col min="46" max="46" width="13.90625" style="2" customWidth="1"/>
    <col min="47" max="47" width="9.90625" style="2"/>
    <col min="48" max="48" width="13" style="2" bestFit="1" customWidth="1"/>
    <col min="49" max="50" width="9.90625" style="2"/>
    <col min="51" max="51" width="13.90625" style="2" customWidth="1"/>
    <col min="52" max="52" width="9.90625" style="4"/>
    <col min="53" max="53" width="13" style="4" bestFit="1" customWidth="1"/>
    <col min="54" max="55" width="9.90625" style="2"/>
    <col min="56" max="56" width="13.90625" style="2" customWidth="1"/>
    <col min="57" max="57" width="9.90625" style="2"/>
    <col min="58" max="58" width="13" style="2" bestFit="1" customWidth="1"/>
    <col min="59" max="60" width="9.90625" style="2"/>
    <col min="61" max="61" width="13.90625" style="2" customWidth="1"/>
    <col min="62" max="62" width="9.90625" style="2"/>
    <col min="63" max="63" width="13" style="2" bestFit="1" customWidth="1"/>
    <col min="64" max="65" width="9.90625" style="2"/>
    <col min="66" max="66" width="13.90625" style="2" customWidth="1"/>
    <col min="67" max="67" width="9.90625" style="2"/>
    <col min="68" max="68" width="13" style="2" bestFit="1" customWidth="1"/>
    <col min="69" max="70" width="9.90625" style="2"/>
    <col min="71" max="71" width="13.90625" style="2" customWidth="1"/>
    <col min="72" max="72" width="9.90625" style="2"/>
    <col min="73" max="73" width="13" style="2" bestFit="1" customWidth="1"/>
    <col min="74" max="76" width="9.90625" style="2"/>
    <col min="77" max="77" width="9.90625" style="4"/>
    <col min="78" max="78" width="13" style="4" bestFit="1" customWidth="1"/>
    <col min="79" max="82" width="9.90625" style="2"/>
    <col min="83" max="83" width="13" style="2" bestFit="1" customWidth="1"/>
    <col min="84" max="16384" width="9.90625" style="2"/>
  </cols>
  <sheetData>
    <row r="1" spans="1:86">
      <c r="A1" s="5" t="s">
        <v>3</v>
      </c>
      <c r="B1" s="5" t="s">
        <v>2</v>
      </c>
      <c r="C1" s="6" t="s">
        <v>9</v>
      </c>
      <c r="D1" s="6" t="s">
        <v>10</v>
      </c>
      <c r="E1" s="3"/>
      <c r="F1" s="14" t="s">
        <v>11</v>
      </c>
      <c r="G1" s="15" t="s">
        <v>2</v>
      </c>
      <c r="H1" s="14" t="s">
        <v>9</v>
      </c>
      <c r="I1" s="14" t="s">
        <v>10</v>
      </c>
      <c r="J1" s="1"/>
      <c r="K1" s="8" t="s">
        <v>32</v>
      </c>
      <c r="L1" s="9" t="s">
        <v>2</v>
      </c>
      <c r="M1" s="8" t="s">
        <v>9</v>
      </c>
      <c r="N1" s="8" t="s">
        <v>10</v>
      </c>
      <c r="O1" s="1"/>
      <c r="P1" s="11" t="s">
        <v>70</v>
      </c>
      <c r="Q1" s="10" t="s">
        <v>2</v>
      </c>
      <c r="R1" s="10" t="s">
        <v>9</v>
      </c>
      <c r="S1" s="10" t="s">
        <v>10</v>
      </c>
      <c r="T1" s="1"/>
      <c r="U1" s="12" t="s">
        <v>43</v>
      </c>
      <c r="V1" s="13" t="s">
        <v>2</v>
      </c>
      <c r="W1" s="13" t="s">
        <v>9</v>
      </c>
      <c r="X1" s="13" t="s">
        <v>10</v>
      </c>
      <c r="Y1" s="1"/>
      <c r="Z1" s="16" t="s">
        <v>80</v>
      </c>
      <c r="AA1" s="17" t="s">
        <v>2</v>
      </c>
      <c r="AB1" s="17" t="s">
        <v>9</v>
      </c>
      <c r="AC1" s="17" t="s">
        <v>10</v>
      </c>
      <c r="AE1" s="18" t="s">
        <v>75</v>
      </c>
      <c r="AF1" s="19" t="s">
        <v>2</v>
      </c>
      <c r="AG1" s="19" t="s">
        <v>9</v>
      </c>
      <c r="AH1" s="19" t="s">
        <v>10</v>
      </c>
      <c r="AI1" s="1"/>
      <c r="AJ1" s="20" t="s">
        <v>39</v>
      </c>
      <c r="AK1" s="21" t="s">
        <v>2</v>
      </c>
      <c r="AL1" s="21" t="s">
        <v>9</v>
      </c>
      <c r="AM1" s="21" t="s">
        <v>10</v>
      </c>
      <c r="AN1" s="1"/>
      <c r="AO1" s="22" t="s">
        <v>46</v>
      </c>
      <c r="AP1" s="23" t="s">
        <v>2</v>
      </c>
      <c r="AQ1" s="23" t="s">
        <v>9</v>
      </c>
      <c r="AR1" s="23" t="s">
        <v>10</v>
      </c>
      <c r="AS1" s="17"/>
      <c r="AT1" s="24" t="s">
        <v>72</v>
      </c>
      <c r="AU1" s="25" t="s">
        <v>2</v>
      </c>
      <c r="AV1" s="25" t="s">
        <v>9</v>
      </c>
      <c r="AW1" s="25" t="s">
        <v>10</v>
      </c>
      <c r="AX1" s="17"/>
      <c r="AY1" s="26" t="s">
        <v>71</v>
      </c>
      <c r="AZ1" s="27" t="s">
        <v>2</v>
      </c>
      <c r="BA1" s="27" t="s">
        <v>9</v>
      </c>
      <c r="BB1" s="27" t="s">
        <v>10</v>
      </c>
      <c r="BC1" s="17"/>
      <c r="BD1" s="28" t="s">
        <v>77</v>
      </c>
      <c r="BE1" s="29" t="s">
        <v>2</v>
      </c>
      <c r="BF1" s="29" t="s">
        <v>9</v>
      </c>
      <c r="BG1" s="29" t="s">
        <v>10</v>
      </c>
      <c r="BH1" s="17"/>
      <c r="BI1" s="32" t="s">
        <v>47</v>
      </c>
      <c r="BJ1" s="33" t="s">
        <v>2</v>
      </c>
      <c r="BK1" s="33" t="s">
        <v>9</v>
      </c>
      <c r="BL1" s="33" t="s">
        <v>10</v>
      </c>
      <c r="BN1" s="37" t="s">
        <v>76</v>
      </c>
      <c r="BO1" s="38" t="s">
        <v>2</v>
      </c>
      <c r="BP1" s="38" t="s">
        <v>9</v>
      </c>
      <c r="BQ1" s="38" t="s">
        <v>10</v>
      </c>
      <c r="BR1" s="17"/>
      <c r="BS1" s="35" t="s">
        <v>45</v>
      </c>
      <c r="BT1" s="36" t="s">
        <v>2</v>
      </c>
      <c r="BU1" s="36" t="s">
        <v>9</v>
      </c>
      <c r="BV1" s="36" t="s">
        <v>10</v>
      </c>
      <c r="BW1" s="17"/>
      <c r="BX1" s="34" t="s">
        <v>37</v>
      </c>
      <c r="BY1" s="4" t="s">
        <v>2</v>
      </c>
      <c r="BZ1" s="4" t="s">
        <v>9</v>
      </c>
      <c r="CA1" s="4" t="s">
        <v>10</v>
      </c>
      <c r="CC1" s="30" t="s">
        <v>99</v>
      </c>
      <c r="CD1" s="31" t="s">
        <v>2</v>
      </c>
      <c r="CE1" s="31" t="s">
        <v>9</v>
      </c>
      <c r="CF1" s="31" t="s">
        <v>10</v>
      </c>
    </row>
    <row r="2" spans="1:86">
      <c r="A2" s="4" t="s">
        <v>127</v>
      </c>
      <c r="B2" s="4">
        <v>238</v>
      </c>
      <c r="C2" s="7" t="s">
        <v>5</v>
      </c>
      <c r="D2" s="3">
        <f>IF(C2="G", B2*450*1.2*1.6, IF(C2="D", B2*350*1.2*1.6, ""))</f>
        <v>205632</v>
      </c>
      <c r="E2" s="3"/>
      <c r="F2" s="7" t="s">
        <v>17</v>
      </c>
      <c r="G2" s="4">
        <v>262</v>
      </c>
      <c r="H2" s="7" t="s">
        <v>5</v>
      </c>
      <c r="I2" s="7">
        <f t="shared" ref="I2:I17" si="0">IF(H2="G", G2*450*1.2*1.6, IF(H2="D", G2*350*1.2*1.6, ""))</f>
        <v>226368</v>
      </c>
      <c r="K2" s="3" t="s">
        <v>91</v>
      </c>
      <c r="L2" s="3">
        <v>239</v>
      </c>
      <c r="M2" s="3" t="s">
        <v>5</v>
      </c>
      <c r="N2" s="7">
        <f>IF(M2="G", L2*450*1.2*1.6, IF(M2="D", L2*350*1.2*1.6, ""))</f>
        <v>206496</v>
      </c>
      <c r="O2" s="3"/>
      <c r="P2" s="3" t="s">
        <v>62</v>
      </c>
      <c r="Q2" s="3">
        <v>234</v>
      </c>
      <c r="R2" s="3" t="s">
        <v>5</v>
      </c>
      <c r="S2" s="7">
        <f>IF(R2="G", Q2*450*1.2*1.6, IF(R2="D", Q2*350*1.2*1.6, ""))</f>
        <v>202176</v>
      </c>
      <c r="T2" s="3"/>
      <c r="U2" s="3" t="s">
        <v>56</v>
      </c>
      <c r="V2" s="3">
        <v>253</v>
      </c>
      <c r="W2" s="3" t="s">
        <v>6</v>
      </c>
      <c r="X2" s="7">
        <f>IF(W2="G", V2*450*1.2*1.6, IF(W2="D", V2*350*1.2*1.6, ""))</f>
        <v>170016</v>
      </c>
      <c r="Y2" s="3"/>
      <c r="Z2" s="3" t="s">
        <v>92</v>
      </c>
      <c r="AA2" s="3">
        <v>224</v>
      </c>
      <c r="AB2" s="3" t="s">
        <v>6</v>
      </c>
      <c r="AC2" s="7">
        <f>IF(AB2="G", AA2*450*1.2*1.6, IF(AB2="D", AA2*350*1.2*1.6, ""))</f>
        <v>150528</v>
      </c>
      <c r="AD2" s="1"/>
      <c r="AE2" s="4" t="s">
        <v>59</v>
      </c>
      <c r="AF2" s="4">
        <v>255</v>
      </c>
      <c r="AG2" s="4" t="s">
        <v>6</v>
      </c>
      <c r="AH2" s="4">
        <f>IF(AG2="G", AF2*450*1.2*1.6, IF(AG2="D", AF2*350*1.2*1.6, ""))</f>
        <v>171360</v>
      </c>
      <c r="AI2" s="3"/>
      <c r="AJ2" s="3" t="s">
        <v>84</v>
      </c>
      <c r="AK2" s="3">
        <v>207</v>
      </c>
      <c r="AL2" s="3" t="s">
        <v>6</v>
      </c>
      <c r="AM2" s="4">
        <f>IF(AL2="G", AK2*450*1.2*1.6, IF(AL2="D", AK2*350*1.2*1.6, ""))</f>
        <v>139104</v>
      </c>
      <c r="AO2" s="3" t="s">
        <v>34</v>
      </c>
      <c r="AP2" s="3">
        <v>167</v>
      </c>
      <c r="AQ2" s="3" t="s">
        <v>5</v>
      </c>
      <c r="AR2" s="4">
        <f>IF(AQ2="G", AP2*450*1.2*1.6, IF(AQ2="D", AP2*350*1.2*1.6, ""))</f>
        <v>144288</v>
      </c>
      <c r="AS2" s="3"/>
      <c r="AT2" s="3" t="s">
        <v>48</v>
      </c>
      <c r="AU2" s="3">
        <v>261</v>
      </c>
      <c r="AV2" s="3" t="s">
        <v>5</v>
      </c>
      <c r="AW2" s="4">
        <f>IF(AV2="G", AU2*450*1.2*1.6, IF(AV2="D", AU2*350*1.2*1.6, ""))</f>
        <v>225504</v>
      </c>
      <c r="AX2" s="3"/>
      <c r="AY2" s="3" t="s">
        <v>87</v>
      </c>
      <c r="AZ2" s="4">
        <v>332</v>
      </c>
      <c r="BA2" s="4" t="s">
        <v>6</v>
      </c>
      <c r="BB2" s="4">
        <f>IF(BA2="G", AZ2*450*1.2*1.6, IF(BA2="D", AZ2*350*1.2*1.6, ""))</f>
        <v>223104</v>
      </c>
      <c r="BC2" s="3"/>
      <c r="BD2" s="3" t="s">
        <v>124</v>
      </c>
      <c r="BE2" s="3">
        <v>224</v>
      </c>
      <c r="BF2" s="3" t="s">
        <v>5</v>
      </c>
      <c r="BG2" s="4">
        <f>IF(BF2="G", BE2*450*1.2*1.6, IF(BF2="D", BE2*350*1.2*1.6, ""))</f>
        <v>193536</v>
      </c>
      <c r="BH2" s="3"/>
      <c r="BI2" s="3" t="s">
        <v>81</v>
      </c>
      <c r="BJ2" s="3">
        <v>268</v>
      </c>
      <c r="BK2" s="3" t="s">
        <v>6</v>
      </c>
      <c r="BL2" s="4">
        <f>IF(BK2="G", BJ2*450*1.2*1.6, IF(BK2="D", BJ2*350*1.2*1.6, ""))</f>
        <v>180096</v>
      </c>
      <c r="BM2"/>
      <c r="BN2" s="3" t="s">
        <v>86</v>
      </c>
      <c r="BO2" s="3">
        <v>165</v>
      </c>
      <c r="BP2" s="3" t="s">
        <v>5</v>
      </c>
      <c r="BQ2" s="4">
        <f>IF(BP2="G", BO2*450*1.2*1.6, IF(BP2="D", BO2*350*1.2*1.6, ""))</f>
        <v>142560</v>
      </c>
      <c r="BR2"/>
      <c r="BS2" s="7" t="s">
        <v>133</v>
      </c>
      <c r="BT2" s="7">
        <v>278</v>
      </c>
      <c r="BU2" s="3" t="s">
        <v>6</v>
      </c>
      <c r="BV2" s="4">
        <f>IF(BU2="G", BT2*450*1.2*1.6, IF(BU2="D", BT2*350*1.2*1.6, ""))</f>
        <v>186816</v>
      </c>
      <c r="BW2"/>
      <c r="BX2" t="s">
        <v>90</v>
      </c>
      <c r="BY2" s="4">
        <v>254</v>
      </c>
      <c r="BZ2" s="4" t="s">
        <v>6</v>
      </c>
      <c r="CA2" s="4">
        <f>IF(BZ2="G", BY2*450*1.2*1.6, IF(BZ2="D", BY2*350*1.2*1.6, ""))</f>
        <v>170688</v>
      </c>
      <c r="CB2"/>
      <c r="CC2" s="3" t="s">
        <v>53</v>
      </c>
      <c r="CD2" s="3">
        <v>237</v>
      </c>
      <c r="CE2" s="3" t="s">
        <v>6</v>
      </c>
      <c r="CF2" s="4">
        <f>IF(CE2="G", CD2*450*1.2*1.6, IF(CE2="D", CD2*350*1.2*1.6, ""))</f>
        <v>159264</v>
      </c>
      <c r="CG2"/>
      <c r="CH2"/>
    </row>
    <row r="3" spans="1:86">
      <c r="A3" s="4" t="s">
        <v>126</v>
      </c>
      <c r="B3" s="4">
        <v>223</v>
      </c>
      <c r="C3" s="7" t="s">
        <v>5</v>
      </c>
      <c r="D3" s="3">
        <f t="shared" ref="D3:D13" si="1">IF(C3="G", B3*450*1.2*1.6, IF(C3="D", B3*350*1.2*1.6, ""))</f>
        <v>192672</v>
      </c>
      <c r="E3" s="3"/>
      <c r="F3" s="7" t="s">
        <v>19</v>
      </c>
      <c r="G3" s="4">
        <v>240</v>
      </c>
      <c r="H3" s="7" t="s">
        <v>5</v>
      </c>
      <c r="I3" s="7">
        <f t="shared" si="0"/>
        <v>207360</v>
      </c>
      <c r="K3" s="3" t="s">
        <v>33</v>
      </c>
      <c r="L3" s="3">
        <v>198</v>
      </c>
      <c r="M3" s="3" t="s">
        <v>5</v>
      </c>
      <c r="N3" s="7">
        <f>IF(M3="G", L3*450*1.2*1.6, IF(M3="D", L3*350*1.2*1.6, ""))</f>
        <v>171072</v>
      </c>
      <c r="O3" s="3"/>
      <c r="P3" s="3" t="s">
        <v>95</v>
      </c>
      <c r="Q3" s="3">
        <v>254</v>
      </c>
      <c r="R3" s="3" t="s">
        <v>6</v>
      </c>
      <c r="S3" s="7">
        <f>IF(R3="G", Q3*450*1.2*1.6, IF(R3="D", Q3*350*1.2*1.6, ""))</f>
        <v>170688</v>
      </c>
      <c r="T3" s="3"/>
      <c r="U3" s="3" t="s">
        <v>57</v>
      </c>
      <c r="V3" s="3">
        <v>251</v>
      </c>
      <c r="W3" s="3" t="s">
        <v>6</v>
      </c>
      <c r="X3" s="7">
        <f>IF(W3="G", V3*450*1.2*1.6, IF(W3="D", V3*350*1.2*1.6, ""))</f>
        <v>168672</v>
      </c>
      <c r="Y3" s="3"/>
      <c r="Z3" s="3"/>
      <c r="AA3" s="3"/>
      <c r="AE3" s="4" t="s">
        <v>19</v>
      </c>
      <c r="AF3" s="4">
        <v>240</v>
      </c>
      <c r="AG3" s="4" t="s">
        <v>6</v>
      </c>
      <c r="AH3" s="4">
        <f>IF(AG3="G", AF3*450*1.2*1.6, IF(AG3="D", AF3*350*1*1.6, ""))</f>
        <v>134400</v>
      </c>
      <c r="AI3" s="3"/>
      <c r="AJ3" s="3" t="s">
        <v>24</v>
      </c>
      <c r="AK3" s="3">
        <v>175</v>
      </c>
      <c r="AL3" s="3" t="s">
        <v>6</v>
      </c>
      <c r="AM3" s="4">
        <f>IF(AL3="G", AK3*450*1.2*1.6, IF(AL3="D", AK3*350*1*1.6, ""))</f>
        <v>98000</v>
      </c>
      <c r="AO3" s="3" t="s">
        <v>51</v>
      </c>
      <c r="AP3" s="3">
        <v>257</v>
      </c>
      <c r="AQ3" s="3" t="s">
        <v>6</v>
      </c>
      <c r="AR3" s="4">
        <f>IF(AQ3="G", AP3*450*1.2*1.6, IF(AQ3="D", AP3*350*1*1.6, ""))</f>
        <v>143920</v>
      </c>
      <c r="AS3" s="3"/>
      <c r="AT3" s="3" t="s">
        <v>48</v>
      </c>
      <c r="AU3" s="3">
        <v>261</v>
      </c>
      <c r="AV3" s="3" t="s">
        <v>6</v>
      </c>
      <c r="AW3" s="4">
        <f>IF(AV3="G", AU3*450*1.2*1.6, IF(AV3="D", AU3*350*1.2*1.6, ""))</f>
        <v>175392</v>
      </c>
      <c r="AX3" s="3"/>
      <c r="AY3" s="3" t="s">
        <v>51</v>
      </c>
      <c r="AZ3" s="4">
        <v>257</v>
      </c>
      <c r="BA3" s="4" t="s">
        <v>6</v>
      </c>
      <c r="BB3" s="4">
        <f>IF(BA3="G", AZ3*450*1.2*1.6, IF(BA3="D", AZ3*350*1.2*1.6, ""))</f>
        <v>172704</v>
      </c>
      <c r="BC3" s="3"/>
      <c r="BD3" s="3" t="s">
        <v>56</v>
      </c>
      <c r="BE3" s="3">
        <v>253</v>
      </c>
      <c r="BF3" s="3" t="s">
        <v>6</v>
      </c>
      <c r="BG3" s="4">
        <f>IF(BF3="G", BE3*450*1.2*1.6, IF(BF3="D", BE3*350*1.2*1.6, ""))</f>
        <v>170016</v>
      </c>
      <c r="BH3" s="3"/>
      <c r="BI3" s="3" t="s">
        <v>51</v>
      </c>
      <c r="BJ3" s="3">
        <v>257</v>
      </c>
      <c r="BK3" s="3" t="s">
        <v>6</v>
      </c>
      <c r="BL3" s="4">
        <f>IF(BK3="G", BJ3*450*1.2*1.6, IF(BK3="D", BJ3*350*1.2*1.6, ""))</f>
        <v>172704</v>
      </c>
      <c r="BM3"/>
      <c r="BN3" s="3" t="s">
        <v>55</v>
      </c>
      <c r="BO3" s="3">
        <v>192</v>
      </c>
      <c r="BP3" s="3" t="s">
        <v>6</v>
      </c>
      <c r="BQ3" s="4">
        <f t="shared" ref="BQ3:BQ4" si="2">IF(BP3="G", BO3*450*1.2*1.6, IF(BP3="D", BO3*350*1.2*1.6, ""))</f>
        <v>129024</v>
      </c>
      <c r="BR3"/>
      <c r="BS3" s="3" t="s">
        <v>81</v>
      </c>
      <c r="BT3" s="3">
        <v>268</v>
      </c>
      <c r="BU3" s="3" t="s">
        <v>6</v>
      </c>
      <c r="BV3" s="4">
        <f>IF(BU3="G", BT3*450*1.2*1.6, IF(BU3="D", BT3*350*1.2*1.6, ""))</f>
        <v>180096</v>
      </c>
      <c r="BW3"/>
      <c r="BX3" t="s">
        <v>48</v>
      </c>
      <c r="BY3" s="4">
        <v>261</v>
      </c>
      <c r="BZ3" s="4" t="s">
        <v>6</v>
      </c>
      <c r="CA3" s="4">
        <f>IF(BZ3="G", BY3*450*1.2*1.6, IF(BZ3="D", BY3*350*1*1.6, ""))</f>
        <v>146160</v>
      </c>
      <c r="CB3"/>
      <c r="CC3"/>
    </row>
    <row r="4" spans="1:86">
      <c r="A4" s="4" t="s">
        <v>4</v>
      </c>
      <c r="B4" s="4">
        <v>263</v>
      </c>
      <c r="C4" s="7" t="s">
        <v>6</v>
      </c>
      <c r="D4" s="3">
        <f t="shared" si="1"/>
        <v>176736</v>
      </c>
      <c r="E4" s="3"/>
      <c r="F4" s="7" t="s">
        <v>18</v>
      </c>
      <c r="G4" s="4">
        <v>254</v>
      </c>
      <c r="H4" s="7" t="s">
        <v>6</v>
      </c>
      <c r="I4" s="7">
        <f t="shared" si="0"/>
        <v>170688</v>
      </c>
      <c r="K4" s="3" t="s">
        <v>91</v>
      </c>
      <c r="L4" s="3">
        <v>239</v>
      </c>
      <c r="M4" s="3" t="s">
        <v>6</v>
      </c>
      <c r="N4" s="7">
        <f>IF(M4="G", L4*450*1.2*1.6, IF(M4="D", L4*350*1.2*1.6, ""))</f>
        <v>160608</v>
      </c>
      <c r="O4" s="3"/>
      <c r="P4" s="3" t="s">
        <v>62</v>
      </c>
      <c r="Q4" s="3">
        <v>234</v>
      </c>
      <c r="R4" s="3" t="s">
        <v>6</v>
      </c>
      <c r="S4" s="7">
        <f>IF(R4="G", Q4*450*1.2*1.6, IF(R4="D", Q4*350*1.2*1.6, ""))</f>
        <v>157248</v>
      </c>
      <c r="T4" s="3"/>
      <c r="U4" s="3" t="s">
        <v>58</v>
      </c>
      <c r="V4" s="3">
        <v>226</v>
      </c>
      <c r="W4" s="3" t="s">
        <v>6</v>
      </c>
      <c r="X4" s="7">
        <f>IF(W4="G", V4*450*1.2*1.6, IF(W4="D", V4*350*1.2*1.6, ""))</f>
        <v>151872</v>
      </c>
      <c r="Y4" s="3"/>
      <c r="Z4" s="3"/>
      <c r="AA4" s="3"/>
      <c r="AE4" s="4" t="s">
        <v>54</v>
      </c>
      <c r="AF4" s="4">
        <v>220</v>
      </c>
      <c r="AG4" s="4" t="s">
        <v>6</v>
      </c>
      <c r="AH4" s="4">
        <f>IF(AG4="G", AF4*450*1.2*1.6, IF(AG4="D", AF4*350*1*1.6, ""))</f>
        <v>123200</v>
      </c>
      <c r="AI4" s="3"/>
      <c r="AJ4" s="3" t="s">
        <v>25</v>
      </c>
      <c r="AK4" s="3">
        <v>171</v>
      </c>
      <c r="AL4" s="3" t="s">
        <v>6</v>
      </c>
      <c r="AM4" s="4">
        <f>IF(AL4="G", AK4*450*1.2*1.6, IF(AL4="D", AK4*350*1*1.6, ""))</f>
        <v>95760</v>
      </c>
      <c r="AO4" s="3" t="s">
        <v>54</v>
      </c>
      <c r="AP4" s="3">
        <v>220</v>
      </c>
      <c r="AQ4" s="3" t="s">
        <v>6</v>
      </c>
      <c r="AR4" s="4">
        <f>IF(AQ4="G", AP4*450*1.2*1.6, IF(AQ4="D", AP4*350*1*1.6, ""))</f>
        <v>123200</v>
      </c>
      <c r="AS4" s="3"/>
      <c r="AT4" s="3" t="s">
        <v>50</v>
      </c>
      <c r="AU4" s="3">
        <v>141</v>
      </c>
      <c r="AV4" s="3" t="s">
        <v>6</v>
      </c>
      <c r="AW4" s="4">
        <f>IF(AV4="G", AU4*450*1.2*1.6, IF(AV4="D", AU4*350*1.2*1.6, ""))</f>
        <v>94752</v>
      </c>
      <c r="AY4" s="3" t="s">
        <v>59</v>
      </c>
      <c r="AZ4" s="4">
        <v>255</v>
      </c>
      <c r="BA4" s="4" t="s">
        <v>6</v>
      </c>
      <c r="BB4" s="4">
        <f>IF(BA4="G", AZ4*450*1.2*1.6, IF(BA4="D", AZ4*350*1.2*1.6, ""))</f>
        <v>171360</v>
      </c>
      <c r="BC4" s="3"/>
      <c r="BD4" s="3" t="s">
        <v>64</v>
      </c>
      <c r="BE4" s="3">
        <v>241</v>
      </c>
      <c r="BF4" s="3" t="s">
        <v>6</v>
      </c>
      <c r="BG4" s="4">
        <f>IF(BF4="G", BE4*450*1.2*1.6, IF(BF4="D", BE4*350*1.2*1.6, ""))</f>
        <v>161952</v>
      </c>
      <c r="BH4" s="3"/>
      <c r="BI4" s="3" t="s">
        <v>53</v>
      </c>
      <c r="BJ4" s="3">
        <v>237</v>
      </c>
      <c r="BK4" s="3" t="s">
        <v>6</v>
      </c>
      <c r="BL4" s="4">
        <f>IF(BK4="G", BJ4*450*1.2*1.6, IF(BK4="D", BJ4*350*1.2*1.6, ""))</f>
        <v>159264</v>
      </c>
      <c r="BM4"/>
      <c r="BN4" s="3" t="s">
        <v>60</v>
      </c>
      <c r="BO4" s="3">
        <v>190</v>
      </c>
      <c r="BP4" s="3" t="s">
        <v>6</v>
      </c>
      <c r="BQ4" s="4">
        <f t="shared" si="2"/>
        <v>127680</v>
      </c>
      <c r="BR4"/>
      <c r="BS4" s="3" t="s">
        <v>82</v>
      </c>
      <c r="BT4" s="3">
        <v>228</v>
      </c>
      <c r="BU4" s="3" t="s">
        <v>6</v>
      </c>
      <c r="BV4" s="4">
        <f>IF(BU4="G", BT4*450*1.2*1.6, IF(BU4="D", BT4*350*1.2*1.6, ""))</f>
        <v>153216</v>
      </c>
      <c r="BW4"/>
      <c r="BX4" t="s">
        <v>25</v>
      </c>
      <c r="BY4" s="4">
        <v>171</v>
      </c>
      <c r="BZ4" s="4" t="s">
        <v>6</v>
      </c>
      <c r="CA4" s="4">
        <f>IF(BZ4="G", BY4*450*1.2*1.6, IF(BZ4="D", BY4*350*1*1.6, ""))</f>
        <v>95760</v>
      </c>
      <c r="CB4"/>
      <c r="CC4"/>
    </row>
    <row r="5" spans="1:86">
      <c r="A5" s="4" t="s">
        <v>7</v>
      </c>
      <c r="B5" s="4">
        <v>251</v>
      </c>
      <c r="C5" s="7" t="s">
        <v>6</v>
      </c>
      <c r="D5" s="3">
        <f t="shared" si="1"/>
        <v>168672</v>
      </c>
      <c r="E5" s="3"/>
      <c r="F5" s="7" t="s">
        <v>20</v>
      </c>
      <c r="G5" s="4">
        <v>220</v>
      </c>
      <c r="H5" s="7" t="s">
        <v>6</v>
      </c>
      <c r="I5" s="7">
        <f t="shared" si="0"/>
        <v>147840</v>
      </c>
      <c r="K5" s="3" t="s">
        <v>33</v>
      </c>
      <c r="L5" s="3">
        <v>198</v>
      </c>
      <c r="M5" s="3" t="s">
        <v>6</v>
      </c>
      <c r="N5" s="7">
        <f>IF(M5="G", L5*450*1.2*1.6, IF(M5="D", L5*350*1.2*1.6, ""))</f>
        <v>133056</v>
      </c>
      <c r="P5" s="3" t="s">
        <v>66</v>
      </c>
      <c r="Q5" s="3">
        <v>222</v>
      </c>
      <c r="R5" s="3" t="s">
        <v>6</v>
      </c>
      <c r="S5" s="7">
        <f>IF(R5="G", Q5*450*1.2*1.6, IF(R5="D", Q5*350*1.2*1.6, ""))</f>
        <v>149184</v>
      </c>
      <c r="T5" s="3"/>
      <c r="U5" s="3" t="s">
        <v>0</v>
      </c>
      <c r="V5" s="3">
        <v>223</v>
      </c>
      <c r="W5" s="3" t="s">
        <v>6</v>
      </c>
      <c r="X5" s="7">
        <f>IF(W5="G", V5*450*1.2*1.6, IF(W5="D", V5*350*1.2*1.6, ""))</f>
        <v>149856</v>
      </c>
      <c r="Y5" s="3"/>
      <c r="Z5" s="3"/>
      <c r="AA5" s="3"/>
      <c r="AE5" s="4" t="s">
        <v>84</v>
      </c>
      <c r="AF5" s="4">
        <v>207</v>
      </c>
      <c r="AG5" s="4" t="s">
        <v>6</v>
      </c>
      <c r="AH5" s="4">
        <f>IF(AG5="G", AF5*450*1.2*1.6, IF(AG5="D", AF5*350*1*1.6, ""))</f>
        <v>115920</v>
      </c>
      <c r="AI5" s="3"/>
      <c r="AJ5" s="3" t="s">
        <v>49</v>
      </c>
      <c r="AK5" s="3">
        <v>17</v>
      </c>
      <c r="AL5" s="3" t="s">
        <v>6</v>
      </c>
      <c r="AM5" s="4">
        <f>IF(AL5="G", AK5*450*1.2*1.6, IF(AL5="D", AK5*350*1.2*1.6, ""))</f>
        <v>11424</v>
      </c>
      <c r="AO5" s="3" t="s">
        <v>34</v>
      </c>
      <c r="AP5" s="3">
        <v>167</v>
      </c>
      <c r="AQ5" s="3" t="s">
        <v>6</v>
      </c>
      <c r="AR5" s="4">
        <f>IF(AQ5="G", AP5*450*1.2*1.6, IF(AQ5="D", AP5*350*1.2*1.6, ""))</f>
        <v>112224</v>
      </c>
      <c r="AS5" s="3"/>
      <c r="AT5" s="4"/>
      <c r="AU5" s="4"/>
      <c r="AV5" s="4"/>
      <c r="AY5" s="3" t="s">
        <v>88</v>
      </c>
      <c r="AZ5" s="4">
        <v>250</v>
      </c>
      <c r="BA5" s="4" t="s">
        <v>6</v>
      </c>
      <c r="BB5" s="4">
        <f>IF(BA5="G", AZ5*450*1.2*1.6, IF(BA5="D", AZ5*350*1.2*1.6, ""))</f>
        <v>168000</v>
      </c>
      <c r="BC5" s="3"/>
      <c r="BD5" s="3" t="s">
        <v>125</v>
      </c>
      <c r="BE5" s="3">
        <v>224</v>
      </c>
      <c r="BF5" s="3" t="s">
        <v>6</v>
      </c>
      <c r="BG5" s="4">
        <f>IF(BF5="G", BE5*450*1.2*1.6, IF(BF5="D", BE5*350*1.2*1.6, ""))</f>
        <v>150528</v>
      </c>
      <c r="BI5" s="3" t="s">
        <v>82</v>
      </c>
      <c r="BJ5" s="3">
        <v>228</v>
      </c>
      <c r="BK5" s="3" t="s">
        <v>6</v>
      </c>
      <c r="BL5" s="4">
        <f>IF(BK5="G", BJ5*450*1.2*1.6, IF(BK5="D", BJ5*350*1.2*1.6, ""))</f>
        <v>153216</v>
      </c>
      <c r="BM5"/>
      <c r="BN5"/>
      <c r="BO5"/>
      <c r="BS5" s="3" t="s">
        <v>0</v>
      </c>
      <c r="BT5" s="3">
        <v>223</v>
      </c>
      <c r="BU5" s="3" t="s">
        <v>6</v>
      </c>
      <c r="BV5" s="4">
        <f>IF(BU5="G", BT5*450*1.2*1.6, IF(BU5="D", BT5*350*1*1.6, ""))</f>
        <v>124880</v>
      </c>
      <c r="BX5" t="s">
        <v>50</v>
      </c>
      <c r="BY5" s="4">
        <v>141</v>
      </c>
      <c r="BZ5" s="4" t="s">
        <v>6</v>
      </c>
      <c r="CA5" s="4">
        <f>IF(BZ5="G", BY5*450*1.2*1.6, IF(BZ5="D", BY5*350*1.2*1.6, ""))</f>
        <v>94752</v>
      </c>
      <c r="CB5"/>
      <c r="CC5"/>
    </row>
    <row r="6" spans="1:86">
      <c r="A6" s="4" t="s">
        <v>8</v>
      </c>
      <c r="B6" s="4">
        <v>238</v>
      </c>
      <c r="C6" s="7" t="s">
        <v>6</v>
      </c>
      <c r="D6" s="3">
        <f t="shared" si="1"/>
        <v>159936</v>
      </c>
      <c r="F6" s="7" t="s">
        <v>25</v>
      </c>
      <c r="G6" s="4">
        <v>171</v>
      </c>
      <c r="H6" s="7" t="s">
        <v>5</v>
      </c>
      <c r="I6" s="7">
        <f t="shared" si="0"/>
        <v>147744</v>
      </c>
      <c r="K6" s="3" t="s">
        <v>67</v>
      </c>
      <c r="L6" s="3">
        <v>160</v>
      </c>
      <c r="M6" s="3" t="s">
        <v>6</v>
      </c>
      <c r="N6" s="7">
        <f>IF(M6="G", L6*450*1*1.6, IF(M6="D", L6*350*1*1.6, ""))</f>
        <v>89600</v>
      </c>
      <c r="P6" s="3" t="s">
        <v>69</v>
      </c>
      <c r="Q6" s="3">
        <v>193</v>
      </c>
      <c r="R6" s="3" t="s">
        <v>6</v>
      </c>
      <c r="S6" s="7">
        <f>IF(R6="G", Q6*450*1.2*1.6, IF(R6="D", Q6*350*1.2*1.6, ""))</f>
        <v>129696</v>
      </c>
      <c r="T6" s="3"/>
      <c r="U6" s="3" t="s">
        <v>61</v>
      </c>
      <c r="V6" s="3">
        <v>163</v>
      </c>
      <c r="W6" s="3" t="s">
        <v>6</v>
      </c>
      <c r="X6" s="7">
        <f>IF(W6="G", V6*450*1.2*1.6, IF(W6="D", V6*350*1.2*1.6, ""))</f>
        <v>109536</v>
      </c>
      <c r="Y6" s="3"/>
      <c r="Z6" s="3"/>
      <c r="AA6" s="3"/>
      <c r="AE6" s="4" t="s">
        <v>61</v>
      </c>
      <c r="AF6" s="4">
        <v>163</v>
      </c>
      <c r="AG6" s="4" t="s">
        <v>6</v>
      </c>
      <c r="AH6" s="4">
        <f>IF(AG6="G", AF6*450*1.2*1.6, IF(AG6="D", AF6*350*1*1.6, ""))</f>
        <v>91280</v>
      </c>
      <c r="AI6" s="3"/>
      <c r="AN6" s="3"/>
      <c r="AO6" s="3" t="s">
        <v>52</v>
      </c>
      <c r="AP6" s="3">
        <v>181</v>
      </c>
      <c r="AQ6" s="3" t="s">
        <v>6</v>
      </c>
      <c r="AR6" s="4">
        <f>IF(AQ6="G", AP6*450*1.2*1.6, IF(AQ6="D", AP6*350*1*1.6, ""))</f>
        <v>101360</v>
      </c>
      <c r="AS6" s="3"/>
      <c r="AT6" s="4"/>
      <c r="AU6" s="4"/>
      <c r="AV6" s="4"/>
      <c r="AY6" s="3" t="s">
        <v>19</v>
      </c>
      <c r="AZ6" s="4">
        <v>240</v>
      </c>
      <c r="BA6" s="4" t="s">
        <v>6</v>
      </c>
      <c r="BB6" s="4">
        <f>IF(BA6="G", AZ6*450*1.2*1.6, IF(BA6="D", AZ6*350*1*1.6, ""))</f>
        <v>134400</v>
      </c>
      <c r="BC6" s="3"/>
      <c r="BD6" s="3"/>
      <c r="BE6" s="3"/>
      <c r="BF6" s="3"/>
      <c r="BI6" s="3" t="s">
        <v>24</v>
      </c>
      <c r="BJ6" s="3">
        <v>175</v>
      </c>
      <c r="BK6" s="3" t="s">
        <v>6</v>
      </c>
      <c r="BL6" s="4">
        <f>IF(BK6="G", BJ6*450*1.2*1.6, IF(BK6="D", BJ6*350*1*1.6, ""))</f>
        <v>98000</v>
      </c>
      <c r="BM6"/>
      <c r="BN6"/>
      <c r="BO6"/>
      <c r="BX6" t="s">
        <v>67</v>
      </c>
      <c r="BY6" s="4">
        <v>160</v>
      </c>
      <c r="BZ6" s="4" t="s">
        <v>6</v>
      </c>
      <c r="CA6" s="4">
        <f>IF(BZ6="G", BY6*450*1.2*1.6, IF(BZ6="D", BY6*350*1*1.6, ""))</f>
        <v>89600</v>
      </c>
      <c r="CB6"/>
      <c r="CC6"/>
    </row>
    <row r="7" spans="1:86">
      <c r="A7" s="4" t="s">
        <v>129</v>
      </c>
      <c r="B7" s="4">
        <v>238</v>
      </c>
      <c r="C7" s="7" t="s">
        <v>6</v>
      </c>
      <c r="D7" s="3">
        <f t="shared" si="1"/>
        <v>159936</v>
      </c>
      <c r="F7" s="7" t="s">
        <v>26</v>
      </c>
      <c r="G7" s="4">
        <v>207</v>
      </c>
      <c r="H7" s="7" t="s">
        <v>6</v>
      </c>
      <c r="I7" s="7">
        <f t="shared" si="0"/>
        <v>139104</v>
      </c>
      <c r="P7" s="3" t="s">
        <v>54</v>
      </c>
      <c r="Q7" s="3">
        <v>220</v>
      </c>
      <c r="R7" s="3" t="s">
        <v>6</v>
      </c>
      <c r="S7" s="7">
        <f>IF(R7="G", Q7*450*1.2*1.6, IF(R7="D", Q7*350*1*1.6, ""))</f>
        <v>123200</v>
      </c>
      <c r="U7" s="3"/>
      <c r="V7" s="3"/>
      <c r="W7" s="3"/>
      <c r="X7" s="7"/>
      <c r="AE7" s="4" t="s">
        <v>67</v>
      </c>
      <c r="AF7" s="4">
        <v>160</v>
      </c>
      <c r="AG7" s="4" t="s">
        <v>6</v>
      </c>
      <c r="AH7" s="4">
        <f>IF(AG7="G", AF7*450*1.2*1.6, IF(AG7="D", AF7*350*1*1.6, ""))</f>
        <v>89600</v>
      </c>
      <c r="AI7" s="3"/>
      <c r="AJ7" s="3"/>
      <c r="AO7" s="3" t="s">
        <v>49</v>
      </c>
      <c r="AP7" s="3">
        <v>17</v>
      </c>
      <c r="AQ7" s="3" t="s">
        <v>6</v>
      </c>
      <c r="AR7" s="4">
        <f>IF(AQ7="G", AP7*450*1.2*1.6, IF(AQ7="D", AP7*350*1.2*1.6, ""))</f>
        <v>11424</v>
      </c>
      <c r="AT7" s="4"/>
      <c r="AU7" s="4"/>
      <c r="AV7" s="4"/>
      <c r="AY7" s="3" t="s">
        <v>62</v>
      </c>
      <c r="AZ7" s="4">
        <v>234</v>
      </c>
      <c r="BA7" s="4" t="s">
        <v>6</v>
      </c>
      <c r="BB7" s="4">
        <f>IF(BA7="G", AZ7*450*1.2*1.6, IF(BA7="D", AZ7*350*1*1.6, ""))</f>
        <v>131040</v>
      </c>
      <c r="BC7" s="3"/>
      <c r="BD7" s="3"/>
      <c r="BE7" s="3"/>
      <c r="BF7" s="3"/>
      <c r="BI7" s="3" t="s">
        <v>34</v>
      </c>
      <c r="BJ7" s="3">
        <v>167</v>
      </c>
      <c r="BK7" s="3" t="s">
        <v>6</v>
      </c>
      <c r="BL7" s="4">
        <f>IF(BK7="G", BJ7*450*1.2*1.6, IF(BK7="D", BJ7*350*1*1.6, ""))</f>
        <v>93520</v>
      </c>
      <c r="BM7"/>
      <c r="BN7"/>
      <c r="BO7"/>
    </row>
    <row r="8" spans="1:86">
      <c r="A8" s="4" t="s">
        <v>128</v>
      </c>
      <c r="B8" s="4">
        <v>223</v>
      </c>
      <c r="C8" s="7" t="s">
        <v>6</v>
      </c>
      <c r="D8" s="3">
        <f t="shared" si="1"/>
        <v>149856</v>
      </c>
      <c r="F8" s="7" t="s">
        <v>31</v>
      </c>
      <c r="G8" s="4">
        <v>186</v>
      </c>
      <c r="H8" s="7" t="s">
        <v>6</v>
      </c>
      <c r="I8" s="7">
        <f t="shared" si="0"/>
        <v>124992</v>
      </c>
      <c r="P8" s="3" t="s">
        <v>68</v>
      </c>
      <c r="Q8" s="3">
        <v>159</v>
      </c>
      <c r="R8" s="3" t="s">
        <v>6</v>
      </c>
      <c r="S8" s="7">
        <f>IF(R8="G", Q8*450*1.2*1.6, IF(R8="D", Q8*350*1*1.6, ""))</f>
        <v>89040</v>
      </c>
      <c r="U8" s="3"/>
      <c r="V8" s="3"/>
      <c r="W8" s="3"/>
      <c r="X8" s="7"/>
      <c r="AE8" s="3"/>
      <c r="AT8" s="4"/>
      <c r="AU8" s="4"/>
      <c r="AV8" s="4"/>
      <c r="AY8" s="3" t="s">
        <v>58</v>
      </c>
      <c r="AZ8" s="4">
        <v>226</v>
      </c>
      <c r="BA8" s="4" t="s">
        <v>6</v>
      </c>
      <c r="BB8" s="4">
        <f>IF(BA8="G", AZ8*450*1.2*1.6, IF(BA8="D", AZ8*350*1*1.6, ""))</f>
        <v>126560</v>
      </c>
      <c r="BC8" s="3"/>
      <c r="BD8" s="3"/>
      <c r="BE8" s="3"/>
      <c r="BF8" s="3"/>
      <c r="BI8" s="3" t="s">
        <v>63</v>
      </c>
      <c r="BJ8" s="3">
        <v>129</v>
      </c>
      <c r="BK8" s="3" t="s">
        <v>6</v>
      </c>
      <c r="BL8" s="4">
        <f>IF(BK8="G", BJ8*450*1.2*1.6, IF(BK8="D", BJ8*350*1*1.6, ""))</f>
        <v>72240</v>
      </c>
      <c r="BM8"/>
      <c r="BN8"/>
      <c r="BO8"/>
    </row>
    <row r="9" spans="1:86">
      <c r="A9" s="4" t="s">
        <v>14</v>
      </c>
      <c r="B9" s="4">
        <v>170</v>
      </c>
      <c r="C9" s="7" t="s">
        <v>6</v>
      </c>
      <c r="D9" s="3">
        <f t="shared" si="1"/>
        <v>114240</v>
      </c>
      <c r="F9" s="7" t="s">
        <v>22</v>
      </c>
      <c r="G9" s="4">
        <v>181</v>
      </c>
      <c r="H9" s="7" t="s">
        <v>6</v>
      </c>
      <c r="I9" s="7">
        <f t="shared" si="0"/>
        <v>121632</v>
      </c>
      <c r="AE9" s="3"/>
      <c r="AT9" s="4"/>
      <c r="AU9" s="4"/>
      <c r="AV9" s="4"/>
      <c r="AY9" s="3" t="s">
        <v>61</v>
      </c>
      <c r="AZ9" s="4">
        <v>163</v>
      </c>
      <c r="BA9" s="4" t="s">
        <v>6</v>
      </c>
      <c r="BB9" s="4">
        <f>IF(BA9="G", AZ9*450*1.2*1.6, IF(BA9="D", AZ9*350*1.2*1.6, ""))</f>
        <v>109536</v>
      </c>
      <c r="BC9" s="3"/>
      <c r="BD9" s="3"/>
      <c r="BE9" s="3"/>
      <c r="BF9" s="3"/>
    </row>
    <row r="10" spans="1:86">
      <c r="A10" s="4" t="s">
        <v>12</v>
      </c>
      <c r="B10" s="4">
        <v>158</v>
      </c>
      <c r="C10" s="7" t="s">
        <v>6</v>
      </c>
      <c r="D10" s="3">
        <f t="shared" si="1"/>
        <v>106176</v>
      </c>
      <c r="F10" s="7" t="s">
        <v>23</v>
      </c>
      <c r="G10" s="4">
        <v>180</v>
      </c>
      <c r="H10" s="7" t="s">
        <v>6</v>
      </c>
      <c r="I10" s="7">
        <f t="shared" si="0"/>
        <v>120960</v>
      </c>
      <c r="AE10" s="3"/>
      <c r="AT10" s="4"/>
      <c r="AU10" s="4"/>
      <c r="AV10" s="4"/>
      <c r="AY10" s="3"/>
      <c r="BD10" s="3"/>
      <c r="BE10" s="3"/>
      <c r="BF10" s="3"/>
    </row>
    <row r="11" spans="1:86">
      <c r="A11" s="4" t="s">
        <v>13</v>
      </c>
      <c r="B11" s="4">
        <v>153</v>
      </c>
      <c r="C11" s="7" t="s">
        <v>6</v>
      </c>
      <c r="D11" s="3">
        <f t="shared" si="1"/>
        <v>102816</v>
      </c>
      <c r="F11" s="7" t="s">
        <v>24</v>
      </c>
      <c r="G11" s="4">
        <v>175</v>
      </c>
      <c r="H11" s="7" t="s">
        <v>6</v>
      </c>
      <c r="I11" s="7">
        <f t="shared" si="0"/>
        <v>117600</v>
      </c>
      <c r="AE11" s="3"/>
      <c r="AT11" s="3"/>
      <c r="AU11" s="3"/>
      <c r="AV11" s="3"/>
      <c r="AY11" s="3"/>
      <c r="BD11" s="3"/>
      <c r="BE11" s="3"/>
      <c r="BF11" s="3"/>
      <c r="BX11" s="3"/>
      <c r="CA11" s="3"/>
      <c r="CB11" s="3"/>
    </row>
    <row r="12" spans="1:86">
      <c r="A12" s="4" t="s">
        <v>15</v>
      </c>
      <c r="B12" s="4">
        <v>132</v>
      </c>
      <c r="C12" s="7" t="s">
        <v>6</v>
      </c>
      <c r="D12" s="3">
        <f t="shared" si="1"/>
        <v>88704</v>
      </c>
      <c r="F12" s="7" t="s">
        <v>25</v>
      </c>
      <c r="G12" s="4">
        <v>171</v>
      </c>
      <c r="H12" s="7" t="s">
        <v>6</v>
      </c>
      <c r="I12" s="7">
        <f t="shared" si="0"/>
        <v>114912</v>
      </c>
      <c r="AE12" s="4"/>
      <c r="AH12" s="4"/>
      <c r="AI12" s="4"/>
      <c r="AJ12" s="65"/>
      <c r="AT12" s="3"/>
      <c r="AU12" s="3"/>
      <c r="AV12" s="3"/>
      <c r="AY12" s="3"/>
      <c r="BD12" s="3"/>
      <c r="BE12" s="3"/>
      <c r="BF12" s="3"/>
      <c r="BX12" s="3"/>
      <c r="CA12" s="3"/>
      <c r="CB12" s="3"/>
    </row>
    <row r="13" spans="1:86">
      <c r="A13" s="4" t="s">
        <v>16</v>
      </c>
      <c r="B13" s="4">
        <v>116</v>
      </c>
      <c r="C13" s="7" t="s">
        <v>6</v>
      </c>
      <c r="D13" s="3">
        <f t="shared" si="1"/>
        <v>77952</v>
      </c>
      <c r="F13" s="7" t="s">
        <v>21</v>
      </c>
      <c r="G13" s="4">
        <v>155</v>
      </c>
      <c r="H13" s="7" t="s">
        <v>6</v>
      </c>
      <c r="I13" s="7">
        <f t="shared" si="0"/>
        <v>104160</v>
      </c>
      <c r="AE13" s="4"/>
      <c r="AH13" s="4"/>
      <c r="AI13" s="4"/>
      <c r="AT13" s="3"/>
      <c r="AU13" s="3"/>
      <c r="AV13" s="3"/>
      <c r="AY13" s="4"/>
      <c r="BD13" s="3"/>
      <c r="BE13" s="3"/>
      <c r="BF13" s="3"/>
      <c r="BX13" s="3"/>
      <c r="CA13" s="3"/>
      <c r="CB13" s="3"/>
    </row>
    <row r="14" spans="1:86">
      <c r="F14" s="7" t="s">
        <v>27</v>
      </c>
      <c r="G14" s="4">
        <v>136</v>
      </c>
      <c r="H14" s="7" t="s">
        <v>6</v>
      </c>
      <c r="I14" s="7">
        <f t="shared" si="0"/>
        <v>91392</v>
      </c>
      <c r="AE14" s="4"/>
      <c r="AH14" s="4"/>
      <c r="AI14" s="4"/>
      <c r="AJ14" s="64"/>
      <c r="AK14" s="64"/>
      <c r="AL14" s="64"/>
      <c r="AM14" s="64"/>
      <c r="AT14" s="3"/>
      <c r="AU14" s="3"/>
      <c r="AV14" s="3"/>
      <c r="AY14" s="3"/>
      <c r="BB14" s="3"/>
      <c r="BC14" s="3"/>
      <c r="BD14" s="3"/>
      <c r="BE14" s="3"/>
      <c r="BF14" s="3"/>
      <c r="BX14"/>
      <c r="CA14" s="3"/>
      <c r="CB14" s="3"/>
    </row>
    <row r="15" spans="1:86">
      <c r="F15" s="7" t="s">
        <v>28</v>
      </c>
      <c r="G15" s="4">
        <v>132</v>
      </c>
      <c r="H15" s="7" t="s">
        <v>6</v>
      </c>
      <c r="I15" s="7">
        <f t="shared" si="0"/>
        <v>88704</v>
      </c>
      <c r="AE15" s="4"/>
      <c r="AH15" s="4"/>
      <c r="AI15" s="4"/>
      <c r="AT15" s="3"/>
      <c r="AU15" s="3"/>
      <c r="AV15" s="3"/>
      <c r="AY15" s="3"/>
      <c r="BB15" s="3"/>
      <c r="BC15" s="3"/>
      <c r="BD15" s="3"/>
      <c r="BE15" s="3"/>
      <c r="BF15" s="3"/>
      <c r="BX15"/>
      <c r="CA15" s="3"/>
      <c r="CB15" s="3"/>
    </row>
    <row r="16" spans="1:86">
      <c r="F16" s="7" t="s">
        <v>29</v>
      </c>
      <c r="G16" s="4">
        <v>126</v>
      </c>
      <c r="H16" s="7" t="s">
        <v>6</v>
      </c>
      <c r="I16" s="7">
        <f t="shared" si="0"/>
        <v>84672</v>
      </c>
      <c r="W16" s="116"/>
      <c r="X16" s="116"/>
      <c r="Y16" s="116"/>
      <c r="Z16" s="116"/>
      <c r="AE16" s="4"/>
      <c r="AH16" s="4"/>
      <c r="AI16" s="4"/>
      <c r="AT16" s="3"/>
      <c r="AU16" s="3"/>
      <c r="AV16" s="3"/>
      <c r="AY16" s="3"/>
      <c r="BB16" s="3"/>
      <c r="BC16" s="3"/>
      <c r="BD16" s="3"/>
      <c r="BE16" s="3"/>
      <c r="BF16" s="3"/>
      <c r="BX16"/>
      <c r="CA16" s="3"/>
      <c r="CB16" s="3"/>
    </row>
    <row r="17" spans="6:80">
      <c r="F17" s="7" t="s">
        <v>30</v>
      </c>
      <c r="G17" s="4">
        <v>94</v>
      </c>
      <c r="H17" s="7" t="s">
        <v>6</v>
      </c>
      <c r="I17" s="7">
        <f t="shared" si="0"/>
        <v>63168</v>
      </c>
      <c r="AE17" s="4"/>
      <c r="AH17" s="4"/>
      <c r="AI17" s="4"/>
      <c r="AT17" s="3"/>
      <c r="AU17" s="3"/>
      <c r="AV17" s="3"/>
      <c r="AY17" s="3"/>
      <c r="BB17" s="3"/>
      <c r="BC17" s="3"/>
      <c r="BD17" s="4"/>
      <c r="BE17" s="4"/>
      <c r="BF17" s="4"/>
      <c r="BX17"/>
      <c r="CA17" s="3"/>
      <c r="CB17" s="3"/>
    </row>
    <row r="18" spans="6:80">
      <c r="F18" s="3"/>
      <c r="AE18" s="3"/>
      <c r="AH18" s="3"/>
      <c r="AI18" s="3"/>
      <c r="AT18" s="3"/>
      <c r="AU18" s="3"/>
      <c r="AV18" s="3"/>
      <c r="AY18" s="3"/>
      <c r="BB18" s="3"/>
      <c r="BC18" s="3"/>
      <c r="BD18" s="4"/>
      <c r="BE18" s="4"/>
      <c r="BF18" s="4"/>
      <c r="BX18"/>
      <c r="CA18" s="3"/>
      <c r="CB18" s="3"/>
    </row>
    <row r="19" spans="6:80">
      <c r="AE19" s="3"/>
      <c r="AH19" s="3"/>
      <c r="AI19" s="3"/>
      <c r="AT19" s="3"/>
      <c r="AU19" s="3"/>
      <c r="AV19" s="3"/>
      <c r="AY19" s="3"/>
      <c r="BB19" s="3"/>
      <c r="BC19" s="3"/>
      <c r="BD19" s="4"/>
      <c r="BE19" s="4"/>
      <c r="BF19" s="4"/>
      <c r="BX19" s="3"/>
      <c r="CA19" s="3"/>
      <c r="CB19" s="3"/>
    </row>
    <row r="20" spans="6:80">
      <c r="AE20" s="3"/>
      <c r="AH20" s="3"/>
      <c r="AI20" s="3"/>
      <c r="AT20" s="3"/>
      <c r="AU20" s="3"/>
      <c r="AV20" s="3"/>
      <c r="AY20" s="3"/>
      <c r="BB20" s="3"/>
      <c r="BC20" s="3"/>
      <c r="BD20" s="4"/>
      <c r="BE20" s="4"/>
      <c r="BF20" s="4"/>
    </row>
    <row r="21" spans="6:80">
      <c r="AE21" s="3"/>
      <c r="AH21" s="3"/>
      <c r="AI21" s="3"/>
      <c r="AY21" s="3"/>
      <c r="BB21" s="3"/>
      <c r="BC21" s="3"/>
      <c r="BD21" s="4"/>
      <c r="BE21" s="4"/>
      <c r="BF21" s="4"/>
    </row>
    <row r="22" spans="6:80">
      <c r="AE22" s="3"/>
      <c r="AH22" s="3"/>
      <c r="AI22" s="3"/>
      <c r="AY22" s="3"/>
      <c r="BB22" s="3"/>
      <c r="BC22" s="3"/>
      <c r="BD22" s="4"/>
      <c r="BE22" s="4"/>
      <c r="BF22" s="4"/>
    </row>
    <row r="23" spans="6:80">
      <c r="AE23" s="3"/>
      <c r="AH23" s="3"/>
      <c r="AI23" s="3"/>
      <c r="AY23" s="3"/>
      <c r="BB23" s="3"/>
      <c r="BC23" s="3"/>
      <c r="BD23" s="3"/>
      <c r="BE23" s="3"/>
      <c r="BF23" s="3"/>
    </row>
    <row r="24" spans="6:80">
      <c r="AE24" s="3"/>
      <c r="AH24" s="3"/>
      <c r="AI24" s="3"/>
      <c r="AY24" s="3"/>
      <c r="BB24" s="3"/>
      <c r="BC24" s="3"/>
      <c r="BD24" s="3"/>
      <c r="BE24" s="3"/>
      <c r="BF24" s="3"/>
    </row>
    <row r="25" spans="6:80">
      <c r="AE25" s="3"/>
      <c r="AH25" s="3"/>
      <c r="AI25" s="3"/>
      <c r="AY25" s="3"/>
      <c r="BB25" s="3"/>
      <c r="BC25" s="3"/>
      <c r="BD25" s="3"/>
      <c r="BE25" s="3"/>
      <c r="BF25" s="3"/>
    </row>
    <row r="26" spans="6:80">
      <c r="AE26" s="3"/>
      <c r="AH26" s="3"/>
      <c r="AI26" s="3"/>
      <c r="AY26" s="3"/>
      <c r="BB26" s="3"/>
      <c r="BC26" s="3"/>
      <c r="BD26" s="3"/>
      <c r="BE26" s="3"/>
      <c r="BF26" s="3"/>
    </row>
    <row r="27" spans="6:80">
      <c r="AE27" s="3"/>
      <c r="AH27" s="3"/>
      <c r="AI27" s="3"/>
      <c r="AY27" s="3"/>
      <c r="BB27" s="3"/>
      <c r="BC27" s="3"/>
      <c r="BD27" s="3"/>
      <c r="BE27" s="3"/>
      <c r="BF27" s="3"/>
    </row>
    <row r="28" spans="6:80">
      <c r="AE28" s="3"/>
      <c r="AH28" s="3"/>
      <c r="AI28" s="3"/>
      <c r="AY28" s="3"/>
      <c r="BB28" s="3"/>
      <c r="BC28" s="3"/>
      <c r="BD28" s="3"/>
      <c r="BE28" s="3"/>
      <c r="BF28" s="3"/>
    </row>
    <row r="29" spans="6:80">
      <c r="AE29" s="3"/>
      <c r="AH29" s="3"/>
      <c r="AI29" s="3"/>
      <c r="AY29" s="3"/>
      <c r="BB29" s="3"/>
      <c r="BC29" s="3"/>
      <c r="BD29" s="3"/>
      <c r="BE29" s="3"/>
      <c r="BF29" s="3"/>
    </row>
    <row r="30" spans="6:80">
      <c r="AE30" s="3"/>
      <c r="AH30" s="3"/>
      <c r="AI30" s="3"/>
      <c r="AY30" s="3"/>
      <c r="BB30" s="3"/>
      <c r="BC30" s="3"/>
      <c r="BD30" s="3"/>
      <c r="BE30" s="3"/>
      <c r="BF30" s="3"/>
    </row>
    <row r="31" spans="6:80">
      <c r="AY31" s="3"/>
      <c r="BB31" s="3"/>
      <c r="BC31" s="3"/>
      <c r="BD31" s="3"/>
      <c r="BE31" s="3"/>
      <c r="BF31" s="3"/>
    </row>
    <row r="32" spans="6:80">
      <c r="AY32" s="3"/>
      <c r="BB32" s="3"/>
      <c r="BC32" s="3"/>
      <c r="BD32" s="3"/>
      <c r="BE32" s="3"/>
      <c r="BF32" s="3"/>
    </row>
    <row r="33" spans="51:55">
      <c r="AY33" s="3"/>
      <c r="BB33" s="3"/>
      <c r="BC33" s="3"/>
    </row>
    <row r="34" spans="51:55">
      <c r="AY34" s="3"/>
      <c r="BB34" s="3"/>
      <c r="BC34" s="3"/>
    </row>
    <row r="35" spans="51:55">
      <c r="AY35" s="3"/>
      <c r="BB35" s="3"/>
      <c r="BC35" s="3"/>
    </row>
  </sheetData>
  <sortState xmlns:xlrd2="http://schemas.microsoft.com/office/spreadsheetml/2017/richdata2" ref="BS2:BV5">
    <sortCondition descending="1" ref="BV2:BV5"/>
  </sortState>
  <mergeCells count="1">
    <mergeCell ref="W16:Z16"/>
  </mergeCells>
  <phoneticPr fontId="1" type="noConversion"/>
  <pageMargins left="0.7" right="0.7" top="0.75" bottom="0.75" header="0.3" footer="0.3"/>
  <pageSetup paperSize="9" fitToWidth="0" fitToHeight="0" orientation="portrait" horizontalDpi="300" verticalDpi="300" r:id="rId1"/>
  <ignoredErrors>
    <ignoredError sqref="AR5 CA5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C84B6-8640-4CBE-9F6C-9081DCD65F33}">
  <sheetPr codeName="工作表5"/>
  <dimension ref="A1:G15"/>
  <sheetViews>
    <sheetView workbookViewId="0">
      <selection activeCell="A4" sqref="A4"/>
    </sheetView>
  </sheetViews>
  <sheetFormatPr defaultRowHeight="17"/>
  <cols>
    <col min="1" max="1" width="10" bestFit="1" customWidth="1"/>
    <col min="3" max="3" width="10" bestFit="1" customWidth="1"/>
    <col min="5" max="5" width="10" bestFit="1" customWidth="1"/>
  </cols>
  <sheetData>
    <row r="1" spans="1:7">
      <c r="A1" s="58">
        <v>46003</v>
      </c>
      <c r="B1" s="58"/>
      <c r="C1" s="58">
        <v>46004</v>
      </c>
      <c r="D1" s="58"/>
      <c r="E1" s="58">
        <v>46005</v>
      </c>
      <c r="F1" s="58"/>
      <c r="G1" s="58"/>
    </row>
    <row r="2" spans="1:7">
      <c r="A2">
        <v>1190</v>
      </c>
      <c r="C2">
        <f>A10</f>
        <v>1470</v>
      </c>
      <c r="E2">
        <f>C4</f>
        <v>1190</v>
      </c>
      <c r="F2" t="s">
        <v>101</v>
      </c>
    </row>
    <row r="3" spans="1:7">
      <c r="A3">
        <f>A2+300</f>
        <v>1490</v>
      </c>
      <c r="B3" t="s">
        <v>113</v>
      </c>
      <c r="C3">
        <f>C2+120</f>
        <v>1590</v>
      </c>
      <c r="D3" t="s">
        <v>102</v>
      </c>
      <c r="E3">
        <f>E2+300</f>
        <v>1490</v>
      </c>
      <c r="F3" t="s">
        <v>123</v>
      </c>
    </row>
    <row r="4" spans="1:7">
      <c r="A4">
        <f>A3+120</f>
        <v>1610</v>
      </c>
      <c r="B4" t="s">
        <v>102</v>
      </c>
      <c r="C4">
        <f>C3-400</f>
        <v>1190</v>
      </c>
      <c r="D4" t="s">
        <v>259</v>
      </c>
      <c r="E4">
        <f>E3+600</f>
        <v>2090</v>
      </c>
      <c r="F4" t="s">
        <v>104</v>
      </c>
    </row>
    <row r="5" spans="1:7">
      <c r="A5">
        <f>A4-400</f>
        <v>1210</v>
      </c>
      <c r="B5" t="s">
        <v>259</v>
      </c>
      <c r="E5">
        <f>E4-800</f>
        <v>1290</v>
      </c>
      <c r="F5" t="s">
        <v>105</v>
      </c>
    </row>
    <row r="6" spans="1:7">
      <c r="A6">
        <f>A5+120</f>
        <v>1330</v>
      </c>
      <c r="B6" t="s">
        <v>102</v>
      </c>
      <c r="E6">
        <f>E5+600</f>
        <v>1890</v>
      </c>
      <c r="F6" t="s">
        <v>104</v>
      </c>
    </row>
    <row r="7" spans="1:7">
      <c r="A7">
        <f>A6+120</f>
        <v>1450</v>
      </c>
      <c r="B7" t="s">
        <v>102</v>
      </c>
      <c r="E7">
        <f>E6-800</f>
        <v>1090</v>
      </c>
      <c r="F7" t="s">
        <v>106</v>
      </c>
    </row>
    <row r="8" spans="1:7">
      <c r="A8">
        <f>A7+120</f>
        <v>1570</v>
      </c>
      <c r="B8" t="s">
        <v>102</v>
      </c>
      <c r="E8">
        <f>E7+820</f>
        <v>1910</v>
      </c>
      <c r="F8" t="s">
        <v>103</v>
      </c>
    </row>
    <row r="9" spans="1:7">
      <c r="A9">
        <f>A8-400</f>
        <v>1170</v>
      </c>
      <c r="B9" t="s">
        <v>259</v>
      </c>
      <c r="E9">
        <f>E8-800</f>
        <v>1110</v>
      </c>
      <c r="F9" t="s">
        <v>107</v>
      </c>
    </row>
    <row r="10" spans="1:7">
      <c r="A10">
        <f>A9+300</f>
        <v>1470</v>
      </c>
      <c r="B10" t="s">
        <v>113</v>
      </c>
      <c r="E10">
        <f>E9+820</f>
        <v>1930</v>
      </c>
      <c r="F10" t="s">
        <v>103</v>
      </c>
    </row>
    <row r="11" spans="1:7">
      <c r="E11">
        <f>E10-800</f>
        <v>1130</v>
      </c>
      <c r="F11" t="s">
        <v>108</v>
      </c>
    </row>
    <row r="12" spans="1:7">
      <c r="E12">
        <f>E11+1500</f>
        <v>2630</v>
      </c>
      <c r="F12" t="s">
        <v>110</v>
      </c>
    </row>
    <row r="13" spans="1:7">
      <c r="E13">
        <f>E12-800</f>
        <v>1830</v>
      </c>
      <c r="F13" t="s">
        <v>109</v>
      </c>
    </row>
    <row r="14" spans="1:7">
      <c r="E14">
        <f>E13-800</f>
        <v>1030</v>
      </c>
      <c r="F14" t="s">
        <v>111</v>
      </c>
    </row>
    <row r="15" spans="1:7">
      <c r="E15">
        <f>E14-800</f>
        <v>230</v>
      </c>
      <c r="F15" t="s">
        <v>112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E5 E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53832-EAE3-4AC2-9AE2-58A717117086}">
  <dimension ref="A1:F1200"/>
  <sheetViews>
    <sheetView workbookViewId="0">
      <selection activeCell="I6" sqref="I6"/>
    </sheetView>
  </sheetViews>
  <sheetFormatPr defaultRowHeight="17"/>
  <cols>
    <col min="1" max="1" width="22.36328125" style="111" bestFit="1" customWidth="1"/>
    <col min="2" max="3" width="8.7265625" style="3"/>
  </cols>
  <sheetData>
    <row r="1" spans="1:6">
      <c r="A1" s="111" t="s">
        <v>267</v>
      </c>
      <c r="B1" s="3" t="s">
        <v>268</v>
      </c>
      <c r="C1" s="3" t="s">
        <v>269</v>
      </c>
      <c r="D1" t="s">
        <v>270</v>
      </c>
      <c r="E1" t="s">
        <v>271</v>
      </c>
      <c r="F1" t="s">
        <v>272</v>
      </c>
    </row>
    <row r="2" spans="1:6">
      <c r="A2" s="111" t="s">
        <v>273</v>
      </c>
      <c r="B2" s="3" t="s">
        <v>166</v>
      </c>
      <c r="C2" s="3" t="s">
        <v>274</v>
      </c>
      <c r="D2">
        <v>118</v>
      </c>
      <c r="E2">
        <v>111</v>
      </c>
      <c r="F2">
        <v>128</v>
      </c>
    </row>
    <row r="3" spans="1:6">
      <c r="A3" s="111" t="s">
        <v>275</v>
      </c>
      <c r="B3" s="3" t="s">
        <v>166</v>
      </c>
      <c r="C3" s="3" t="s">
        <v>274</v>
      </c>
      <c r="D3">
        <v>151</v>
      </c>
      <c r="E3">
        <v>143</v>
      </c>
      <c r="F3">
        <v>155</v>
      </c>
    </row>
    <row r="4" spans="1:6">
      <c r="A4" s="111" t="s">
        <v>276</v>
      </c>
      <c r="B4" s="3" t="s">
        <v>166</v>
      </c>
      <c r="C4" s="3" t="s">
        <v>274</v>
      </c>
      <c r="D4">
        <v>198</v>
      </c>
      <c r="E4">
        <v>189</v>
      </c>
      <c r="F4">
        <v>190</v>
      </c>
    </row>
    <row r="5" spans="1:6">
      <c r="A5" s="111" t="s">
        <v>277</v>
      </c>
      <c r="B5" s="3" t="s">
        <v>100</v>
      </c>
      <c r="C5" s="3" t="s">
        <v>118</v>
      </c>
      <c r="D5">
        <v>116</v>
      </c>
      <c r="E5">
        <v>93</v>
      </c>
      <c r="F5">
        <v>118</v>
      </c>
    </row>
    <row r="6" spans="1:6">
      <c r="A6" s="111" t="s">
        <v>278</v>
      </c>
      <c r="B6" s="3" t="s">
        <v>100</v>
      </c>
      <c r="C6" s="3" t="s">
        <v>118</v>
      </c>
      <c r="D6">
        <v>158</v>
      </c>
      <c r="E6">
        <v>126</v>
      </c>
      <c r="F6">
        <v>151</v>
      </c>
    </row>
    <row r="7" spans="1:6">
      <c r="A7" s="111" t="s">
        <v>279</v>
      </c>
      <c r="B7" s="3" t="s">
        <v>100</v>
      </c>
      <c r="C7" s="3" t="s">
        <v>96</v>
      </c>
      <c r="D7">
        <v>223</v>
      </c>
      <c r="E7">
        <v>173</v>
      </c>
      <c r="F7">
        <v>186</v>
      </c>
    </row>
    <row r="8" spans="1:6">
      <c r="A8" s="111" t="s">
        <v>280</v>
      </c>
      <c r="B8" s="3" t="s">
        <v>172</v>
      </c>
      <c r="C8" s="3" t="s">
        <v>118</v>
      </c>
      <c r="D8">
        <v>94</v>
      </c>
      <c r="E8">
        <v>121</v>
      </c>
      <c r="F8">
        <v>127</v>
      </c>
    </row>
    <row r="9" spans="1:6">
      <c r="A9" s="111" t="s">
        <v>281</v>
      </c>
      <c r="B9" s="3" t="s">
        <v>172</v>
      </c>
      <c r="C9" s="3" t="s">
        <v>118</v>
      </c>
      <c r="D9">
        <v>126</v>
      </c>
      <c r="E9">
        <v>155</v>
      </c>
      <c r="F9">
        <v>153</v>
      </c>
    </row>
    <row r="10" spans="1:6">
      <c r="A10" s="111" t="s">
        <v>282</v>
      </c>
      <c r="B10" s="3" t="s">
        <v>172</v>
      </c>
      <c r="C10" s="3" t="s">
        <v>118</v>
      </c>
      <c r="D10">
        <v>171</v>
      </c>
      <c r="E10">
        <v>207</v>
      </c>
      <c r="F10">
        <v>188</v>
      </c>
    </row>
    <row r="11" spans="1:6">
      <c r="A11" s="111" t="s">
        <v>283</v>
      </c>
      <c r="B11" s="3" t="s">
        <v>284</v>
      </c>
      <c r="C11" s="3" t="s">
        <v>118</v>
      </c>
      <c r="D11">
        <v>55</v>
      </c>
      <c r="E11">
        <v>55</v>
      </c>
      <c r="F11">
        <v>128</v>
      </c>
    </row>
    <row r="12" spans="1:6">
      <c r="A12" s="111" t="s">
        <v>285</v>
      </c>
      <c r="B12" s="3" t="s">
        <v>284</v>
      </c>
      <c r="C12" s="3" t="s">
        <v>118</v>
      </c>
      <c r="D12">
        <v>45</v>
      </c>
      <c r="E12">
        <v>80</v>
      </c>
      <c r="F12">
        <v>137</v>
      </c>
    </row>
    <row r="13" spans="1:6">
      <c r="A13" s="111" t="s">
        <v>286</v>
      </c>
      <c r="B13" s="3" t="s">
        <v>284</v>
      </c>
      <c r="C13" s="3" t="s">
        <v>96</v>
      </c>
      <c r="D13">
        <v>167</v>
      </c>
      <c r="E13">
        <v>137</v>
      </c>
      <c r="F13">
        <v>155</v>
      </c>
    </row>
    <row r="14" spans="1:6">
      <c r="A14" s="111" t="s">
        <v>287</v>
      </c>
      <c r="B14" s="3" t="s">
        <v>284</v>
      </c>
      <c r="C14" s="3" t="s">
        <v>274</v>
      </c>
      <c r="D14">
        <v>63</v>
      </c>
      <c r="E14">
        <v>50</v>
      </c>
      <c r="F14">
        <v>120</v>
      </c>
    </row>
    <row r="15" spans="1:6">
      <c r="A15" s="111" t="s">
        <v>288</v>
      </c>
      <c r="B15" s="3" t="s">
        <v>284</v>
      </c>
      <c r="C15" s="3" t="s">
        <v>274</v>
      </c>
      <c r="D15">
        <v>46</v>
      </c>
      <c r="E15">
        <v>75</v>
      </c>
      <c r="F15">
        <v>128</v>
      </c>
    </row>
    <row r="16" spans="1:6">
      <c r="A16" s="111" t="s">
        <v>289</v>
      </c>
      <c r="B16" s="3" t="s">
        <v>284</v>
      </c>
      <c r="C16" s="3" t="s">
        <v>274</v>
      </c>
      <c r="D16">
        <v>169</v>
      </c>
      <c r="E16">
        <v>130</v>
      </c>
      <c r="F16">
        <v>163</v>
      </c>
    </row>
    <row r="17" spans="1:6">
      <c r="A17" s="111" t="s">
        <v>290</v>
      </c>
      <c r="B17" s="3" t="s">
        <v>169</v>
      </c>
      <c r="C17" s="3" t="s">
        <v>96</v>
      </c>
      <c r="D17">
        <v>85</v>
      </c>
      <c r="E17">
        <v>73</v>
      </c>
      <c r="F17">
        <v>120</v>
      </c>
    </row>
    <row r="18" spans="1:6">
      <c r="A18" s="111" t="s">
        <v>291</v>
      </c>
      <c r="B18" s="3" t="s">
        <v>169</v>
      </c>
      <c r="C18" s="3" t="s">
        <v>96</v>
      </c>
      <c r="D18">
        <v>117</v>
      </c>
      <c r="E18">
        <v>105</v>
      </c>
      <c r="F18">
        <v>160</v>
      </c>
    </row>
    <row r="19" spans="1:6">
      <c r="A19" s="111" t="s">
        <v>292</v>
      </c>
      <c r="B19" s="3" t="s">
        <v>169</v>
      </c>
      <c r="C19" s="3" t="s">
        <v>96</v>
      </c>
      <c r="D19">
        <v>166</v>
      </c>
      <c r="E19">
        <v>154</v>
      </c>
      <c r="F19">
        <v>195</v>
      </c>
    </row>
    <row r="20" spans="1:6">
      <c r="A20" s="111" t="s">
        <v>293</v>
      </c>
      <c r="B20" s="3" t="s">
        <v>169</v>
      </c>
      <c r="C20" s="3" t="s">
        <v>118</v>
      </c>
      <c r="D20">
        <v>103</v>
      </c>
      <c r="E20">
        <v>70</v>
      </c>
      <c r="F20">
        <v>102</v>
      </c>
    </row>
    <row r="21" spans="1:6">
      <c r="A21" s="111" t="s">
        <v>294</v>
      </c>
      <c r="B21" s="3" t="s">
        <v>159</v>
      </c>
      <c r="C21" s="3" t="s">
        <v>169</v>
      </c>
      <c r="D21">
        <v>103</v>
      </c>
      <c r="E21">
        <v>70</v>
      </c>
      <c r="F21">
        <v>102</v>
      </c>
    </row>
    <row r="22" spans="1:6">
      <c r="A22" s="111" t="s">
        <v>295</v>
      </c>
      <c r="B22" s="3" t="s">
        <v>169</v>
      </c>
      <c r="C22" s="3" t="s">
        <v>118</v>
      </c>
      <c r="D22">
        <v>161</v>
      </c>
      <c r="E22">
        <v>139</v>
      </c>
      <c r="F22">
        <v>146</v>
      </c>
    </row>
    <row r="23" spans="1:6">
      <c r="A23" s="111" t="s">
        <v>296</v>
      </c>
      <c r="B23" s="3" t="s">
        <v>159</v>
      </c>
      <c r="C23" s="3" t="s">
        <v>169</v>
      </c>
      <c r="D23">
        <v>135</v>
      </c>
      <c r="E23">
        <v>154</v>
      </c>
      <c r="F23">
        <v>181</v>
      </c>
    </row>
    <row r="24" spans="1:6">
      <c r="A24" s="111" t="s">
        <v>297</v>
      </c>
      <c r="B24" s="3" t="s">
        <v>169</v>
      </c>
      <c r="C24" s="3" t="s">
        <v>96</v>
      </c>
      <c r="D24">
        <v>112</v>
      </c>
      <c r="E24">
        <v>60</v>
      </c>
      <c r="F24">
        <v>120</v>
      </c>
    </row>
    <row r="25" spans="1:6">
      <c r="A25" s="111" t="s">
        <v>298</v>
      </c>
      <c r="B25" s="3" t="s">
        <v>169</v>
      </c>
      <c r="C25" s="3" t="s">
        <v>96</v>
      </c>
      <c r="D25">
        <v>182</v>
      </c>
      <c r="E25">
        <v>133</v>
      </c>
      <c r="F25">
        <v>163</v>
      </c>
    </row>
    <row r="26" spans="1:6">
      <c r="A26" s="111" t="s">
        <v>299</v>
      </c>
      <c r="B26" s="3" t="s">
        <v>274</v>
      </c>
      <c r="C26" s="3" t="s">
        <v>118</v>
      </c>
      <c r="D26">
        <v>110</v>
      </c>
      <c r="E26">
        <v>97</v>
      </c>
      <c r="F26">
        <v>111</v>
      </c>
    </row>
    <row r="27" spans="1:6">
      <c r="A27" s="111" t="s">
        <v>300</v>
      </c>
      <c r="B27" s="3" t="s">
        <v>274</v>
      </c>
      <c r="C27" s="3" t="s">
        <v>118</v>
      </c>
      <c r="D27">
        <v>167</v>
      </c>
      <c r="E27">
        <v>153</v>
      </c>
      <c r="F27">
        <v>155</v>
      </c>
    </row>
    <row r="28" spans="1:6">
      <c r="A28" s="111" t="s">
        <v>301</v>
      </c>
      <c r="B28" s="3" t="s">
        <v>177</v>
      </c>
      <c r="C28" s="3" t="s">
        <v>118</v>
      </c>
      <c r="D28">
        <v>112</v>
      </c>
      <c r="E28">
        <v>96</v>
      </c>
      <c r="F28">
        <v>111</v>
      </c>
    </row>
    <row r="29" spans="1:6">
      <c r="A29" s="111" t="s">
        <v>302</v>
      </c>
      <c r="B29" s="3" t="s">
        <v>177</v>
      </c>
      <c r="C29" s="3" t="s">
        <v>118</v>
      </c>
      <c r="D29">
        <v>193</v>
      </c>
      <c r="E29">
        <v>151</v>
      </c>
      <c r="F29">
        <v>155</v>
      </c>
    </row>
    <row r="30" spans="1:6">
      <c r="A30" s="111" t="s">
        <v>303</v>
      </c>
      <c r="B30" s="3" t="s">
        <v>177</v>
      </c>
      <c r="C30" s="3" t="s">
        <v>97</v>
      </c>
      <c r="D30">
        <v>201</v>
      </c>
      <c r="E30">
        <v>154</v>
      </c>
      <c r="F30">
        <v>155</v>
      </c>
    </row>
    <row r="31" spans="1:6">
      <c r="A31" s="111" t="s">
        <v>304</v>
      </c>
      <c r="B31" s="3" t="s">
        <v>73</v>
      </c>
      <c r="C31" s="3" t="s">
        <v>118</v>
      </c>
      <c r="D31">
        <v>126</v>
      </c>
      <c r="E31">
        <v>120</v>
      </c>
      <c r="F31">
        <v>137</v>
      </c>
    </row>
    <row r="32" spans="1:6">
      <c r="A32" s="111" t="s">
        <v>305</v>
      </c>
      <c r="B32" s="3" t="s">
        <v>98</v>
      </c>
      <c r="C32" s="3" t="s">
        <v>306</v>
      </c>
      <c r="D32">
        <v>125</v>
      </c>
      <c r="E32">
        <v>129</v>
      </c>
      <c r="F32">
        <v>137</v>
      </c>
    </row>
    <row r="33" spans="1:6">
      <c r="A33" s="111" t="s">
        <v>307</v>
      </c>
      <c r="B33" s="3" t="s">
        <v>73</v>
      </c>
      <c r="C33" s="3" t="s">
        <v>118</v>
      </c>
      <c r="D33">
        <v>182</v>
      </c>
      <c r="E33">
        <v>175</v>
      </c>
      <c r="F33">
        <v>181</v>
      </c>
    </row>
    <row r="34" spans="1:6">
      <c r="A34" s="111" t="s">
        <v>308</v>
      </c>
      <c r="B34" s="3" t="s">
        <v>98</v>
      </c>
      <c r="C34" s="3" t="s">
        <v>306</v>
      </c>
      <c r="D34">
        <v>177</v>
      </c>
      <c r="E34">
        <v>195</v>
      </c>
      <c r="F34">
        <v>181</v>
      </c>
    </row>
    <row r="35" spans="1:6">
      <c r="A35" s="111" t="s">
        <v>309</v>
      </c>
      <c r="B35" s="3" t="s">
        <v>274</v>
      </c>
      <c r="C35" s="3" t="s">
        <v>118</v>
      </c>
      <c r="D35">
        <v>86</v>
      </c>
      <c r="E35">
        <v>89</v>
      </c>
      <c r="F35">
        <v>146</v>
      </c>
    </row>
    <row r="36" spans="1:6">
      <c r="A36" s="111" t="s">
        <v>310</v>
      </c>
      <c r="B36" s="3" t="s">
        <v>274</v>
      </c>
      <c r="C36" s="3" t="s">
        <v>118</v>
      </c>
      <c r="D36">
        <v>117</v>
      </c>
      <c r="E36">
        <v>120</v>
      </c>
      <c r="F36">
        <v>172</v>
      </c>
    </row>
    <row r="37" spans="1:6">
      <c r="A37" s="111" t="s">
        <v>311</v>
      </c>
      <c r="B37" s="3" t="s">
        <v>274</v>
      </c>
      <c r="C37" s="3" t="s">
        <v>73</v>
      </c>
      <c r="D37">
        <v>180</v>
      </c>
      <c r="E37">
        <v>173</v>
      </c>
      <c r="F37">
        <v>207</v>
      </c>
    </row>
    <row r="38" spans="1:6">
      <c r="A38" s="111" t="s">
        <v>312</v>
      </c>
      <c r="B38" s="3" t="s">
        <v>274</v>
      </c>
      <c r="C38" s="3" t="s">
        <v>118</v>
      </c>
      <c r="D38">
        <v>105</v>
      </c>
      <c r="E38">
        <v>76</v>
      </c>
      <c r="F38">
        <v>130</v>
      </c>
    </row>
    <row r="39" spans="1:6">
      <c r="A39" s="111" t="s">
        <v>313</v>
      </c>
      <c r="B39" s="3" t="s">
        <v>274</v>
      </c>
      <c r="C39" s="3" t="s">
        <v>118</v>
      </c>
      <c r="D39">
        <v>137</v>
      </c>
      <c r="E39">
        <v>111</v>
      </c>
      <c r="F39">
        <v>156</v>
      </c>
    </row>
    <row r="40" spans="1:6">
      <c r="A40" s="111" t="s">
        <v>314</v>
      </c>
      <c r="B40" s="3" t="s">
        <v>274</v>
      </c>
      <c r="C40" s="3" t="s">
        <v>73</v>
      </c>
      <c r="D40">
        <v>204</v>
      </c>
      <c r="E40">
        <v>156</v>
      </c>
      <c r="F40">
        <v>191</v>
      </c>
    </row>
    <row r="41" spans="1:6">
      <c r="A41" s="111" t="s">
        <v>315</v>
      </c>
      <c r="B41" s="3" t="s">
        <v>83</v>
      </c>
      <c r="C41" s="3" t="s">
        <v>118</v>
      </c>
      <c r="D41">
        <v>107</v>
      </c>
      <c r="E41">
        <v>108</v>
      </c>
      <c r="F41">
        <v>172</v>
      </c>
    </row>
    <row r="42" spans="1:6">
      <c r="A42" s="111" t="s">
        <v>316</v>
      </c>
      <c r="B42" s="3" t="s">
        <v>83</v>
      </c>
      <c r="C42" s="3" t="s">
        <v>118</v>
      </c>
      <c r="D42">
        <v>178</v>
      </c>
      <c r="E42">
        <v>162</v>
      </c>
      <c r="F42">
        <v>216</v>
      </c>
    </row>
    <row r="43" spans="1:6">
      <c r="A43" s="111" t="s">
        <v>317</v>
      </c>
      <c r="B43" s="3" t="s">
        <v>100</v>
      </c>
      <c r="C43" s="3" t="s">
        <v>118</v>
      </c>
      <c r="D43">
        <v>96</v>
      </c>
      <c r="E43">
        <v>109</v>
      </c>
      <c r="F43">
        <v>116</v>
      </c>
    </row>
    <row r="44" spans="1:6">
      <c r="A44" s="111" t="s">
        <v>318</v>
      </c>
      <c r="B44" s="3" t="s">
        <v>98</v>
      </c>
      <c r="C44" s="3" t="s">
        <v>118</v>
      </c>
      <c r="D44">
        <v>96</v>
      </c>
      <c r="E44">
        <v>109</v>
      </c>
      <c r="F44">
        <v>116</v>
      </c>
    </row>
    <row r="45" spans="1:6">
      <c r="A45" s="111" t="s">
        <v>319</v>
      </c>
      <c r="B45" s="3" t="s">
        <v>100</v>
      </c>
      <c r="C45" s="3" t="s">
        <v>118</v>
      </c>
      <c r="D45">
        <v>169</v>
      </c>
      <c r="E45">
        <v>190</v>
      </c>
      <c r="F45">
        <v>177</v>
      </c>
    </row>
    <row r="46" spans="1:6">
      <c r="A46" s="111" t="s">
        <v>320</v>
      </c>
      <c r="B46" s="3" t="s">
        <v>98</v>
      </c>
      <c r="C46" s="3" t="s">
        <v>83</v>
      </c>
      <c r="D46">
        <v>170</v>
      </c>
      <c r="E46">
        <v>193</v>
      </c>
      <c r="F46">
        <v>177</v>
      </c>
    </row>
    <row r="47" spans="1:6">
      <c r="A47" s="111" t="s">
        <v>321</v>
      </c>
      <c r="B47" s="3" t="s">
        <v>169</v>
      </c>
      <c r="C47" s="3" t="s">
        <v>83</v>
      </c>
      <c r="D47">
        <v>80</v>
      </c>
      <c r="E47">
        <v>41</v>
      </c>
      <c r="F47">
        <v>251</v>
      </c>
    </row>
    <row r="48" spans="1:6">
      <c r="A48" s="111" t="s">
        <v>322</v>
      </c>
      <c r="B48" s="3" t="s">
        <v>169</v>
      </c>
      <c r="C48" s="3" t="s">
        <v>83</v>
      </c>
      <c r="D48">
        <v>156</v>
      </c>
      <c r="E48">
        <v>90</v>
      </c>
      <c r="F48">
        <v>295</v>
      </c>
    </row>
    <row r="49" spans="1:6">
      <c r="A49" s="111" t="s">
        <v>323</v>
      </c>
      <c r="B49" s="3" t="s">
        <v>274</v>
      </c>
      <c r="C49" s="3" t="s">
        <v>96</v>
      </c>
      <c r="D49">
        <v>83</v>
      </c>
      <c r="E49">
        <v>73</v>
      </c>
      <c r="F49">
        <v>120</v>
      </c>
    </row>
    <row r="50" spans="1:6">
      <c r="A50" s="111" t="s">
        <v>324</v>
      </c>
      <c r="B50" s="3" t="s">
        <v>274</v>
      </c>
      <c r="C50" s="3" t="s">
        <v>96</v>
      </c>
      <c r="D50">
        <v>161</v>
      </c>
      <c r="E50">
        <v>150</v>
      </c>
      <c r="F50">
        <v>181</v>
      </c>
    </row>
    <row r="51" spans="1:6">
      <c r="A51" s="111" t="s">
        <v>325</v>
      </c>
      <c r="B51" s="3" t="s">
        <v>166</v>
      </c>
      <c r="C51" s="3" t="s">
        <v>274</v>
      </c>
      <c r="D51">
        <v>131</v>
      </c>
      <c r="E51">
        <v>112</v>
      </c>
      <c r="F51">
        <v>128</v>
      </c>
    </row>
    <row r="52" spans="1:6">
      <c r="A52" s="111" t="s">
        <v>326</v>
      </c>
      <c r="B52" s="3" t="s">
        <v>166</v>
      </c>
      <c r="C52" s="3" t="s">
        <v>274</v>
      </c>
      <c r="D52">
        <v>153</v>
      </c>
      <c r="E52">
        <v>136</v>
      </c>
      <c r="F52">
        <v>155</v>
      </c>
    </row>
    <row r="53" spans="1:6">
      <c r="A53" s="111" t="s">
        <v>327</v>
      </c>
      <c r="B53" s="3" t="s">
        <v>166</v>
      </c>
      <c r="C53" s="3" t="s">
        <v>274</v>
      </c>
      <c r="D53">
        <v>202</v>
      </c>
      <c r="E53">
        <v>167</v>
      </c>
      <c r="F53">
        <v>181</v>
      </c>
    </row>
    <row r="54" spans="1:6">
      <c r="A54" s="111" t="s">
        <v>328</v>
      </c>
      <c r="B54" s="3" t="s">
        <v>284</v>
      </c>
      <c r="C54" s="3" t="s">
        <v>166</v>
      </c>
      <c r="D54">
        <v>121</v>
      </c>
      <c r="E54">
        <v>99</v>
      </c>
      <c r="F54">
        <v>111</v>
      </c>
    </row>
    <row r="55" spans="1:6">
      <c r="A55" s="111" t="s">
        <v>329</v>
      </c>
      <c r="B55" s="3" t="s">
        <v>284</v>
      </c>
      <c r="C55" s="3" t="s">
        <v>166</v>
      </c>
      <c r="D55">
        <v>165</v>
      </c>
      <c r="E55">
        <v>146</v>
      </c>
      <c r="F55">
        <v>155</v>
      </c>
    </row>
    <row r="56" spans="1:6">
      <c r="A56" s="111" t="s">
        <v>330</v>
      </c>
      <c r="B56" s="3" t="s">
        <v>284</v>
      </c>
      <c r="C56" s="3" t="s">
        <v>274</v>
      </c>
      <c r="D56">
        <v>100</v>
      </c>
      <c r="E56">
        <v>100</v>
      </c>
      <c r="F56">
        <v>155</v>
      </c>
    </row>
    <row r="57" spans="1:6">
      <c r="A57" s="111" t="s">
        <v>331</v>
      </c>
      <c r="B57" s="3" t="s">
        <v>284</v>
      </c>
      <c r="C57" s="3" t="s">
        <v>274</v>
      </c>
      <c r="D57">
        <v>179</v>
      </c>
      <c r="E57">
        <v>143</v>
      </c>
      <c r="F57">
        <v>172</v>
      </c>
    </row>
    <row r="58" spans="1:6">
      <c r="A58" s="111" t="s">
        <v>332</v>
      </c>
      <c r="B58" s="3" t="s">
        <v>73</v>
      </c>
      <c r="C58" s="3" t="s">
        <v>118</v>
      </c>
      <c r="D58">
        <v>109</v>
      </c>
      <c r="E58">
        <v>78</v>
      </c>
      <c r="F58">
        <v>67</v>
      </c>
    </row>
    <row r="59" spans="1:6">
      <c r="A59" s="111" t="s">
        <v>333</v>
      </c>
      <c r="B59" s="3" t="s">
        <v>73</v>
      </c>
      <c r="C59" s="3" t="s">
        <v>306</v>
      </c>
      <c r="D59">
        <v>108</v>
      </c>
      <c r="E59">
        <v>81</v>
      </c>
      <c r="F59">
        <v>67</v>
      </c>
    </row>
    <row r="60" spans="1:6">
      <c r="A60" s="111" t="s">
        <v>334</v>
      </c>
      <c r="B60" s="3" t="s">
        <v>73</v>
      </c>
      <c r="C60" s="3" t="s">
        <v>118</v>
      </c>
      <c r="D60">
        <v>167</v>
      </c>
      <c r="E60">
        <v>136</v>
      </c>
      <c r="F60">
        <v>111</v>
      </c>
    </row>
    <row r="61" spans="1:6">
      <c r="A61" s="111" t="s">
        <v>335</v>
      </c>
      <c r="B61" s="3" t="s">
        <v>73</v>
      </c>
      <c r="C61" s="3" t="s">
        <v>306</v>
      </c>
      <c r="D61">
        <v>201</v>
      </c>
      <c r="E61">
        <v>142</v>
      </c>
      <c r="F61">
        <v>111</v>
      </c>
    </row>
    <row r="62" spans="1:6">
      <c r="A62" s="111" t="s">
        <v>336</v>
      </c>
      <c r="B62" s="3" t="s">
        <v>169</v>
      </c>
      <c r="C62" s="3" t="s">
        <v>118</v>
      </c>
      <c r="D62">
        <v>92</v>
      </c>
      <c r="E62">
        <v>78</v>
      </c>
      <c r="F62">
        <v>120</v>
      </c>
    </row>
    <row r="63" spans="1:6">
      <c r="A63" s="111" t="s">
        <v>337</v>
      </c>
      <c r="B63" s="3" t="s">
        <v>159</v>
      </c>
      <c r="C63" s="3" t="s">
        <v>118</v>
      </c>
      <c r="D63">
        <v>99</v>
      </c>
      <c r="E63">
        <v>78</v>
      </c>
      <c r="F63">
        <v>120</v>
      </c>
    </row>
    <row r="64" spans="1:6">
      <c r="A64" s="111" t="s">
        <v>338</v>
      </c>
      <c r="B64" s="3" t="s">
        <v>306</v>
      </c>
      <c r="C64" s="3" t="s">
        <v>118</v>
      </c>
      <c r="D64">
        <v>115</v>
      </c>
      <c r="E64">
        <v>92</v>
      </c>
      <c r="F64">
        <v>137</v>
      </c>
    </row>
    <row r="65" spans="1:6">
      <c r="A65" s="111" t="s">
        <v>339</v>
      </c>
      <c r="B65" s="3" t="s">
        <v>169</v>
      </c>
      <c r="C65" s="3" t="s">
        <v>118</v>
      </c>
      <c r="D65">
        <v>150</v>
      </c>
      <c r="E65">
        <v>136</v>
      </c>
      <c r="F65">
        <v>163</v>
      </c>
    </row>
    <row r="66" spans="1:6">
      <c r="A66" s="111" t="s">
        <v>340</v>
      </c>
      <c r="B66" s="3" t="s">
        <v>159</v>
      </c>
      <c r="C66" s="3" t="s">
        <v>118</v>
      </c>
      <c r="D66">
        <v>158</v>
      </c>
      <c r="E66">
        <v>136</v>
      </c>
      <c r="F66">
        <v>163</v>
      </c>
    </row>
    <row r="67" spans="1:6">
      <c r="A67" s="111" t="s">
        <v>341</v>
      </c>
      <c r="B67" s="3" t="s">
        <v>172</v>
      </c>
      <c r="C67" s="3" t="s">
        <v>118</v>
      </c>
      <c r="D67">
        <v>122</v>
      </c>
      <c r="E67">
        <v>95</v>
      </c>
      <c r="F67">
        <v>137</v>
      </c>
    </row>
    <row r="68" spans="1:6">
      <c r="A68" s="111" t="s">
        <v>342</v>
      </c>
      <c r="B68" s="3" t="s">
        <v>172</v>
      </c>
      <c r="C68" s="3" t="s">
        <v>118</v>
      </c>
      <c r="D68">
        <v>191</v>
      </c>
      <c r="E68">
        <v>162</v>
      </c>
      <c r="F68">
        <v>190</v>
      </c>
    </row>
    <row r="69" spans="1:6">
      <c r="A69" s="111" t="s">
        <v>343</v>
      </c>
      <c r="B69" s="3" t="s">
        <v>94</v>
      </c>
      <c r="C69" s="3" t="s">
        <v>118</v>
      </c>
      <c r="D69">
        <v>148</v>
      </c>
      <c r="E69">
        <v>82</v>
      </c>
      <c r="F69">
        <v>120</v>
      </c>
    </row>
    <row r="70" spans="1:6">
      <c r="A70" s="111" t="s">
        <v>344</v>
      </c>
      <c r="B70" s="3" t="s">
        <v>94</v>
      </c>
      <c r="C70" s="3" t="s">
        <v>118</v>
      </c>
      <c r="D70">
        <v>207</v>
      </c>
      <c r="E70">
        <v>138</v>
      </c>
      <c r="F70">
        <v>163</v>
      </c>
    </row>
    <row r="71" spans="1:6">
      <c r="A71" s="111" t="s">
        <v>345</v>
      </c>
      <c r="B71" s="3" t="s">
        <v>100</v>
      </c>
      <c r="C71" s="3" t="s">
        <v>118</v>
      </c>
      <c r="D71">
        <v>136</v>
      </c>
      <c r="E71">
        <v>93</v>
      </c>
      <c r="F71">
        <v>146</v>
      </c>
    </row>
    <row r="72" spans="1:6">
      <c r="A72" s="111" t="s">
        <v>346</v>
      </c>
      <c r="B72" s="3" t="s">
        <v>100</v>
      </c>
      <c r="C72" s="3" t="s">
        <v>38</v>
      </c>
      <c r="D72">
        <v>142</v>
      </c>
      <c r="E72">
        <v>92</v>
      </c>
      <c r="F72">
        <v>155</v>
      </c>
    </row>
    <row r="73" spans="1:6">
      <c r="A73" s="111" t="s">
        <v>347</v>
      </c>
      <c r="B73" s="3" t="s">
        <v>100</v>
      </c>
      <c r="C73" s="3" t="s">
        <v>118</v>
      </c>
      <c r="D73">
        <v>227</v>
      </c>
      <c r="E73">
        <v>166</v>
      </c>
      <c r="F73">
        <v>207</v>
      </c>
    </row>
    <row r="74" spans="1:6">
      <c r="A74" s="111" t="s">
        <v>348</v>
      </c>
      <c r="B74" s="3" t="s">
        <v>100</v>
      </c>
      <c r="C74" s="3" t="s">
        <v>38</v>
      </c>
      <c r="D74">
        <v>232</v>
      </c>
      <c r="E74">
        <v>165</v>
      </c>
      <c r="F74">
        <v>216</v>
      </c>
    </row>
    <row r="75" spans="1:6">
      <c r="A75" s="111" t="s">
        <v>349</v>
      </c>
      <c r="B75" s="3" t="s">
        <v>172</v>
      </c>
      <c r="C75" s="3" t="s">
        <v>118</v>
      </c>
      <c r="D75">
        <v>101</v>
      </c>
      <c r="E75">
        <v>82</v>
      </c>
      <c r="F75">
        <v>120</v>
      </c>
    </row>
    <row r="76" spans="1:6">
      <c r="A76" s="111" t="s">
        <v>350</v>
      </c>
      <c r="B76" s="3" t="s">
        <v>172</v>
      </c>
      <c r="C76" s="3" t="s">
        <v>118</v>
      </c>
      <c r="D76">
        <v>130</v>
      </c>
      <c r="E76">
        <v>123</v>
      </c>
      <c r="F76">
        <v>163</v>
      </c>
    </row>
    <row r="77" spans="1:6">
      <c r="A77" s="111" t="s">
        <v>351</v>
      </c>
      <c r="B77" s="3" t="s">
        <v>172</v>
      </c>
      <c r="C77" s="3" t="s">
        <v>94</v>
      </c>
      <c r="D77">
        <v>182</v>
      </c>
      <c r="E77">
        <v>184</v>
      </c>
      <c r="F77">
        <v>207</v>
      </c>
    </row>
    <row r="78" spans="1:6">
      <c r="A78" s="111" t="s">
        <v>352</v>
      </c>
      <c r="B78" s="3" t="s">
        <v>97</v>
      </c>
      <c r="C78" s="3" t="s">
        <v>118</v>
      </c>
      <c r="D78">
        <v>195</v>
      </c>
      <c r="E78">
        <v>82</v>
      </c>
      <c r="F78">
        <v>93</v>
      </c>
    </row>
    <row r="79" spans="1:6">
      <c r="A79" s="111" t="s">
        <v>353</v>
      </c>
      <c r="B79" s="3" t="s">
        <v>97</v>
      </c>
      <c r="C79" s="3" t="s">
        <v>118</v>
      </c>
      <c r="D79">
        <v>232</v>
      </c>
      <c r="E79">
        <v>117</v>
      </c>
      <c r="F79">
        <v>120</v>
      </c>
    </row>
    <row r="80" spans="1:6">
      <c r="A80" s="111" t="s">
        <v>354</v>
      </c>
      <c r="B80" s="3" t="s">
        <v>97</v>
      </c>
      <c r="C80" s="3" t="s">
        <v>118</v>
      </c>
      <c r="D80">
        <v>271</v>
      </c>
      <c r="E80">
        <v>167</v>
      </c>
      <c r="F80">
        <v>146</v>
      </c>
    </row>
    <row r="81" spans="1:6">
      <c r="A81" s="111" t="s">
        <v>355</v>
      </c>
      <c r="B81" s="3" t="s">
        <v>94</v>
      </c>
      <c r="C81" s="3" t="s">
        <v>118</v>
      </c>
      <c r="D81">
        <v>137</v>
      </c>
      <c r="E81">
        <v>82</v>
      </c>
      <c r="F81">
        <v>172</v>
      </c>
    </row>
    <row r="82" spans="1:6">
      <c r="A82" s="111" t="s">
        <v>356</v>
      </c>
      <c r="B82" s="3" t="s">
        <v>94</v>
      </c>
      <c r="C82" s="3" t="s">
        <v>118</v>
      </c>
      <c r="D82">
        <v>177</v>
      </c>
      <c r="E82">
        <v>125</v>
      </c>
      <c r="F82">
        <v>190</v>
      </c>
    </row>
    <row r="83" spans="1:6">
      <c r="A83" s="111" t="s">
        <v>357</v>
      </c>
      <c r="B83" s="3" t="s">
        <v>94</v>
      </c>
      <c r="C83" s="3" t="s">
        <v>118</v>
      </c>
      <c r="D83">
        <v>234</v>
      </c>
      <c r="E83">
        <v>159</v>
      </c>
      <c r="F83">
        <v>207</v>
      </c>
    </row>
    <row r="84" spans="1:6">
      <c r="A84" s="111" t="s">
        <v>358</v>
      </c>
      <c r="B84" s="3" t="s">
        <v>166</v>
      </c>
      <c r="C84" s="3" t="s">
        <v>274</v>
      </c>
      <c r="D84">
        <v>139</v>
      </c>
      <c r="E84">
        <v>61</v>
      </c>
      <c r="F84">
        <v>137</v>
      </c>
    </row>
    <row r="85" spans="1:6">
      <c r="A85" s="111" t="s">
        <v>359</v>
      </c>
      <c r="B85" s="3" t="s">
        <v>166</v>
      </c>
      <c r="C85" s="3" t="s">
        <v>274</v>
      </c>
      <c r="D85">
        <v>172</v>
      </c>
      <c r="E85">
        <v>92</v>
      </c>
      <c r="F85">
        <v>163</v>
      </c>
    </row>
    <row r="86" spans="1:6">
      <c r="A86" s="111" t="s">
        <v>360</v>
      </c>
      <c r="B86" s="3" t="s">
        <v>166</v>
      </c>
      <c r="C86" s="3" t="s">
        <v>274</v>
      </c>
      <c r="D86">
        <v>207</v>
      </c>
      <c r="E86">
        <v>135</v>
      </c>
      <c r="F86">
        <v>190</v>
      </c>
    </row>
    <row r="87" spans="1:6">
      <c r="A87" s="111" t="s">
        <v>361</v>
      </c>
      <c r="B87" s="3" t="s">
        <v>172</v>
      </c>
      <c r="C87" s="3" t="s">
        <v>274</v>
      </c>
      <c r="D87">
        <v>97</v>
      </c>
      <c r="E87">
        <v>149</v>
      </c>
      <c r="F87">
        <v>120</v>
      </c>
    </row>
    <row r="88" spans="1:6">
      <c r="A88" s="111" t="s">
        <v>362</v>
      </c>
      <c r="B88" s="3" t="s">
        <v>172</v>
      </c>
      <c r="C88" s="3" t="s">
        <v>274</v>
      </c>
      <c r="D88">
        <v>166</v>
      </c>
      <c r="E88">
        <v>209</v>
      </c>
      <c r="F88">
        <v>190</v>
      </c>
    </row>
    <row r="89" spans="1:6">
      <c r="A89" s="111" t="s">
        <v>363</v>
      </c>
      <c r="B89" s="3" t="s">
        <v>38</v>
      </c>
      <c r="C89" s="3" t="s">
        <v>73</v>
      </c>
      <c r="D89">
        <v>132</v>
      </c>
      <c r="E89">
        <v>132</v>
      </c>
      <c r="F89">
        <v>120</v>
      </c>
    </row>
    <row r="90" spans="1:6">
      <c r="A90" s="111" t="s">
        <v>364</v>
      </c>
      <c r="B90" s="3" t="s">
        <v>38</v>
      </c>
      <c r="C90" s="3" t="s">
        <v>177</v>
      </c>
      <c r="D90">
        <v>132</v>
      </c>
      <c r="E90">
        <v>132</v>
      </c>
      <c r="F90">
        <v>120</v>
      </c>
    </row>
    <row r="91" spans="1:6">
      <c r="A91" s="111" t="s">
        <v>365</v>
      </c>
      <c r="B91" s="3" t="s">
        <v>38</v>
      </c>
      <c r="C91" s="3" t="s">
        <v>73</v>
      </c>
      <c r="D91">
        <v>164</v>
      </c>
      <c r="E91">
        <v>164</v>
      </c>
      <c r="F91">
        <v>146</v>
      </c>
    </row>
    <row r="92" spans="1:6">
      <c r="A92" s="111" t="s">
        <v>366</v>
      </c>
      <c r="B92" s="3" t="s">
        <v>38</v>
      </c>
      <c r="C92" s="3" t="s">
        <v>177</v>
      </c>
      <c r="D92">
        <v>164</v>
      </c>
      <c r="E92">
        <v>164</v>
      </c>
      <c r="F92">
        <v>146</v>
      </c>
    </row>
    <row r="93" spans="1:6">
      <c r="A93" s="111" t="s">
        <v>367</v>
      </c>
      <c r="B93" s="3" t="s">
        <v>38</v>
      </c>
      <c r="C93" s="3" t="s">
        <v>73</v>
      </c>
      <c r="D93">
        <v>211</v>
      </c>
      <c r="E93">
        <v>198</v>
      </c>
      <c r="F93">
        <v>190</v>
      </c>
    </row>
    <row r="94" spans="1:6">
      <c r="A94" s="111" t="s">
        <v>368</v>
      </c>
      <c r="B94" s="3" t="s">
        <v>38</v>
      </c>
      <c r="C94" s="3" t="s">
        <v>177</v>
      </c>
      <c r="D94">
        <v>211</v>
      </c>
      <c r="E94">
        <v>198</v>
      </c>
      <c r="F94">
        <v>190</v>
      </c>
    </row>
    <row r="95" spans="1:6">
      <c r="A95" s="111" t="s">
        <v>369</v>
      </c>
      <c r="B95" s="3" t="s">
        <v>100</v>
      </c>
      <c r="C95" s="3" t="s">
        <v>118</v>
      </c>
      <c r="D95">
        <v>170</v>
      </c>
      <c r="E95">
        <v>127</v>
      </c>
      <c r="F95">
        <v>137</v>
      </c>
    </row>
    <row r="96" spans="1:6">
      <c r="A96" s="111" t="s">
        <v>370</v>
      </c>
      <c r="B96" s="3" t="s">
        <v>97</v>
      </c>
      <c r="C96" s="3" t="s">
        <v>118</v>
      </c>
      <c r="D96">
        <v>170</v>
      </c>
      <c r="E96">
        <v>127</v>
      </c>
      <c r="F96">
        <v>137</v>
      </c>
    </row>
    <row r="97" spans="1:6">
      <c r="A97" s="111" t="s">
        <v>371</v>
      </c>
      <c r="B97" s="3" t="s">
        <v>100</v>
      </c>
      <c r="C97" s="3" t="s">
        <v>118</v>
      </c>
      <c r="D97">
        <v>207</v>
      </c>
      <c r="E97">
        <v>162</v>
      </c>
      <c r="F97">
        <v>163</v>
      </c>
    </row>
    <row r="98" spans="1:6">
      <c r="A98" s="111" t="s">
        <v>372</v>
      </c>
      <c r="B98" s="3" t="s">
        <v>97</v>
      </c>
      <c r="C98" s="3" t="s">
        <v>83</v>
      </c>
      <c r="D98">
        <v>207</v>
      </c>
      <c r="E98">
        <v>162</v>
      </c>
      <c r="F98">
        <v>163</v>
      </c>
    </row>
    <row r="99" spans="1:6">
      <c r="A99" s="111" t="s">
        <v>373</v>
      </c>
      <c r="B99" s="3" t="s">
        <v>172</v>
      </c>
      <c r="C99" s="3" t="s">
        <v>97</v>
      </c>
      <c r="D99">
        <v>109</v>
      </c>
      <c r="E99">
        <v>98</v>
      </c>
      <c r="F99">
        <v>207</v>
      </c>
    </row>
    <row r="100" spans="1:6">
      <c r="A100" s="111" t="s">
        <v>374</v>
      </c>
      <c r="B100" s="3" t="s">
        <v>97</v>
      </c>
      <c r="C100" s="3" t="s">
        <v>118</v>
      </c>
      <c r="D100">
        <v>109</v>
      </c>
      <c r="E100">
        <v>98</v>
      </c>
      <c r="F100">
        <v>207</v>
      </c>
    </row>
    <row r="101" spans="1:6">
      <c r="A101" s="111" t="s">
        <v>375</v>
      </c>
      <c r="B101" s="3" t="s">
        <v>172</v>
      </c>
      <c r="C101" s="3" t="s">
        <v>97</v>
      </c>
      <c r="D101">
        <v>177</v>
      </c>
      <c r="E101">
        <v>180</v>
      </c>
      <c r="F101">
        <v>216</v>
      </c>
    </row>
    <row r="102" spans="1:6">
      <c r="A102" s="111" t="s">
        <v>376</v>
      </c>
      <c r="B102" s="3" t="s">
        <v>274</v>
      </c>
      <c r="C102" s="3" t="s">
        <v>97</v>
      </c>
      <c r="D102">
        <v>182</v>
      </c>
      <c r="E102">
        <v>156</v>
      </c>
      <c r="F102">
        <v>216</v>
      </c>
    </row>
    <row r="103" spans="1:6">
      <c r="A103" s="111" t="s">
        <v>377</v>
      </c>
      <c r="B103" s="3" t="s">
        <v>177</v>
      </c>
      <c r="C103" s="3" t="s">
        <v>306</v>
      </c>
      <c r="D103">
        <v>165</v>
      </c>
      <c r="E103">
        <v>121</v>
      </c>
      <c r="F103">
        <v>93</v>
      </c>
    </row>
    <row r="104" spans="1:6">
      <c r="A104" s="111" t="s">
        <v>378</v>
      </c>
      <c r="B104" s="3" t="s">
        <v>177</v>
      </c>
      <c r="C104" s="3" t="s">
        <v>306</v>
      </c>
      <c r="D104">
        <v>223</v>
      </c>
      <c r="E104">
        <v>169</v>
      </c>
      <c r="F104">
        <v>137</v>
      </c>
    </row>
    <row r="105" spans="1:6">
      <c r="A105" s="111" t="s">
        <v>379</v>
      </c>
      <c r="B105" s="3" t="s">
        <v>169</v>
      </c>
      <c r="C105" s="3" t="s">
        <v>96</v>
      </c>
      <c r="D105">
        <v>124</v>
      </c>
      <c r="E105">
        <v>115</v>
      </c>
      <c r="F105">
        <v>141</v>
      </c>
    </row>
    <row r="106" spans="1:6">
      <c r="A106" s="111" t="s">
        <v>380</v>
      </c>
      <c r="B106" s="3" t="s">
        <v>94</v>
      </c>
      <c r="C106" s="3" t="s">
        <v>118</v>
      </c>
      <c r="D106">
        <v>174</v>
      </c>
      <c r="E106">
        <v>114</v>
      </c>
      <c r="F106">
        <v>141</v>
      </c>
    </row>
    <row r="107" spans="1:6">
      <c r="A107" s="111" t="s">
        <v>381</v>
      </c>
      <c r="B107" s="3" t="s">
        <v>169</v>
      </c>
      <c r="C107" s="3" t="s">
        <v>96</v>
      </c>
      <c r="D107">
        <v>158</v>
      </c>
      <c r="E107">
        <v>83</v>
      </c>
      <c r="F107">
        <v>111</v>
      </c>
    </row>
    <row r="108" spans="1:6">
      <c r="A108" s="111" t="s">
        <v>382</v>
      </c>
      <c r="B108" s="3" t="s">
        <v>169</v>
      </c>
      <c r="C108" s="3" t="s">
        <v>96</v>
      </c>
      <c r="D108">
        <v>218</v>
      </c>
      <c r="E108">
        <v>140</v>
      </c>
      <c r="F108">
        <v>155</v>
      </c>
    </row>
    <row r="109" spans="1:6">
      <c r="A109" s="111" t="s">
        <v>383</v>
      </c>
      <c r="B109" s="3" t="s">
        <v>172</v>
      </c>
      <c r="C109" s="3" t="s">
        <v>118</v>
      </c>
      <c r="D109">
        <v>85</v>
      </c>
      <c r="E109">
        <v>121</v>
      </c>
      <c r="F109">
        <v>163</v>
      </c>
    </row>
    <row r="110" spans="1:6">
      <c r="A110" s="111" t="s">
        <v>384</v>
      </c>
      <c r="B110" s="3" t="s">
        <v>172</v>
      </c>
      <c r="C110" s="3" t="s">
        <v>98</v>
      </c>
      <c r="D110">
        <v>139</v>
      </c>
      <c r="E110">
        <v>177</v>
      </c>
      <c r="F110">
        <v>207</v>
      </c>
    </row>
    <row r="111" spans="1:6">
      <c r="A111" s="111" t="s">
        <v>385</v>
      </c>
      <c r="B111" s="3" t="s">
        <v>274</v>
      </c>
      <c r="C111" s="3" t="s">
        <v>118</v>
      </c>
      <c r="D111">
        <v>135</v>
      </c>
      <c r="E111">
        <v>90</v>
      </c>
      <c r="F111">
        <v>190</v>
      </c>
    </row>
    <row r="112" spans="1:6">
      <c r="A112" s="111" t="s">
        <v>386</v>
      </c>
      <c r="B112" s="3" t="s">
        <v>274</v>
      </c>
      <c r="C112" s="3" t="s">
        <v>159</v>
      </c>
      <c r="D112">
        <v>135</v>
      </c>
      <c r="E112">
        <v>90</v>
      </c>
      <c r="F112">
        <v>190</v>
      </c>
    </row>
    <row r="113" spans="1:6">
      <c r="A113" s="111" t="s">
        <v>387</v>
      </c>
      <c r="B113" s="3" t="s">
        <v>274</v>
      </c>
      <c r="C113" s="3" t="s">
        <v>118</v>
      </c>
      <c r="D113">
        <v>190</v>
      </c>
      <c r="E113">
        <v>172</v>
      </c>
      <c r="F113">
        <v>233</v>
      </c>
    </row>
    <row r="114" spans="1:6">
      <c r="A114" s="111" t="s">
        <v>388</v>
      </c>
      <c r="B114" s="3" t="s">
        <v>274</v>
      </c>
      <c r="C114" s="3" t="s">
        <v>159</v>
      </c>
      <c r="D114">
        <v>190</v>
      </c>
      <c r="E114">
        <v>172</v>
      </c>
      <c r="F114">
        <v>233</v>
      </c>
    </row>
    <row r="115" spans="1:6">
      <c r="A115" s="111" t="s">
        <v>389</v>
      </c>
      <c r="B115" s="3" t="s">
        <v>172</v>
      </c>
      <c r="C115" s="3" t="s">
        <v>118</v>
      </c>
      <c r="D115">
        <v>116</v>
      </c>
      <c r="E115">
        <v>134</v>
      </c>
      <c r="F115">
        <v>102</v>
      </c>
    </row>
    <row r="116" spans="1:6">
      <c r="A116" s="111" t="s">
        <v>390</v>
      </c>
      <c r="B116" s="3" t="s">
        <v>172</v>
      </c>
      <c r="C116" s="3" t="s">
        <v>98</v>
      </c>
      <c r="D116">
        <v>186</v>
      </c>
      <c r="E116">
        <v>256</v>
      </c>
      <c r="F116">
        <v>137</v>
      </c>
    </row>
    <row r="117" spans="1:6">
      <c r="A117" s="111" t="s">
        <v>391</v>
      </c>
      <c r="B117" s="3" t="s">
        <v>266</v>
      </c>
      <c r="C117" s="3" t="s">
        <v>274</v>
      </c>
      <c r="D117">
        <v>186</v>
      </c>
      <c r="E117">
        <v>67</v>
      </c>
      <c r="F117">
        <v>102</v>
      </c>
    </row>
    <row r="118" spans="1:6">
      <c r="A118" s="111" t="s">
        <v>392</v>
      </c>
      <c r="B118" s="3" t="s">
        <v>266</v>
      </c>
      <c r="C118" s="3" t="s">
        <v>274</v>
      </c>
      <c r="D118">
        <v>223</v>
      </c>
      <c r="E118">
        <v>107</v>
      </c>
      <c r="F118">
        <v>128</v>
      </c>
    </row>
    <row r="119" spans="1:6">
      <c r="A119" s="111" t="s">
        <v>393</v>
      </c>
      <c r="B119" s="3" t="s">
        <v>266</v>
      </c>
      <c r="C119" s="3" t="s">
        <v>274</v>
      </c>
      <c r="D119">
        <v>261</v>
      </c>
      <c r="E119">
        <v>149</v>
      </c>
      <c r="F119">
        <v>155</v>
      </c>
    </row>
    <row r="120" spans="1:6">
      <c r="A120" s="111" t="s">
        <v>394</v>
      </c>
      <c r="B120" s="3" t="s">
        <v>38</v>
      </c>
      <c r="C120" s="3" t="s">
        <v>73</v>
      </c>
      <c r="D120">
        <v>85</v>
      </c>
      <c r="E120">
        <v>232</v>
      </c>
      <c r="F120">
        <v>111</v>
      </c>
    </row>
    <row r="121" spans="1:6">
      <c r="A121" s="111" t="s">
        <v>395</v>
      </c>
      <c r="B121" s="3" t="s">
        <v>97</v>
      </c>
      <c r="C121" s="3" t="s">
        <v>118</v>
      </c>
      <c r="D121">
        <v>89</v>
      </c>
      <c r="E121">
        <v>136</v>
      </c>
      <c r="F121">
        <v>155</v>
      </c>
    </row>
    <row r="122" spans="1:6">
      <c r="A122" s="111" t="s">
        <v>396</v>
      </c>
      <c r="B122" s="3" t="s">
        <v>97</v>
      </c>
      <c r="C122" s="3" t="s">
        <v>118</v>
      </c>
      <c r="D122">
        <v>144</v>
      </c>
      <c r="E122">
        <v>193</v>
      </c>
      <c r="F122">
        <v>198</v>
      </c>
    </row>
    <row r="123" spans="1:6">
      <c r="A123" s="111" t="s">
        <v>397</v>
      </c>
      <c r="B123" s="3" t="s">
        <v>172</v>
      </c>
      <c r="C123" s="3" t="s">
        <v>118</v>
      </c>
      <c r="D123">
        <v>181</v>
      </c>
      <c r="E123">
        <v>124</v>
      </c>
      <c r="F123">
        <v>102</v>
      </c>
    </row>
    <row r="124" spans="1:6">
      <c r="A124" s="111" t="s">
        <v>398</v>
      </c>
      <c r="B124" s="3" t="s">
        <v>172</v>
      </c>
      <c r="C124" s="3" t="s">
        <v>118</v>
      </c>
      <c r="D124">
        <v>240</v>
      </c>
      <c r="E124">
        <v>181</v>
      </c>
      <c r="F124">
        <v>146</v>
      </c>
    </row>
    <row r="125" spans="1:6">
      <c r="A125" s="111" t="s">
        <v>399</v>
      </c>
      <c r="B125" s="3" t="s">
        <v>177</v>
      </c>
      <c r="C125" s="3" t="s">
        <v>118</v>
      </c>
      <c r="D125">
        <v>109</v>
      </c>
      <c r="E125">
        <v>111</v>
      </c>
      <c r="F125">
        <v>120</v>
      </c>
    </row>
    <row r="126" spans="1:6">
      <c r="A126" s="111" t="s">
        <v>400</v>
      </c>
      <c r="B126" s="3" t="s">
        <v>166</v>
      </c>
      <c r="C126" s="3" t="s">
        <v>177</v>
      </c>
      <c r="D126">
        <v>109</v>
      </c>
      <c r="E126">
        <v>111</v>
      </c>
      <c r="F126">
        <v>120</v>
      </c>
    </row>
    <row r="127" spans="1:6">
      <c r="A127" s="111" t="s">
        <v>401</v>
      </c>
      <c r="B127" s="3" t="s">
        <v>177</v>
      </c>
      <c r="C127" s="3" t="s">
        <v>118</v>
      </c>
      <c r="D127">
        <v>173</v>
      </c>
      <c r="E127">
        <v>173</v>
      </c>
      <c r="F127">
        <v>155</v>
      </c>
    </row>
    <row r="128" spans="1:6">
      <c r="A128" s="111" t="s">
        <v>402</v>
      </c>
      <c r="B128" s="3" t="s">
        <v>177</v>
      </c>
      <c r="C128" s="3" t="s">
        <v>166</v>
      </c>
      <c r="D128">
        <v>176</v>
      </c>
      <c r="E128">
        <v>176</v>
      </c>
      <c r="F128">
        <v>155</v>
      </c>
    </row>
    <row r="129" spans="1:6">
      <c r="A129" s="111" t="s">
        <v>403</v>
      </c>
      <c r="B129" s="3" t="s">
        <v>166</v>
      </c>
      <c r="C129" s="3" t="s">
        <v>97</v>
      </c>
      <c r="D129">
        <v>107</v>
      </c>
      <c r="E129">
        <v>125</v>
      </c>
      <c r="F129">
        <v>155</v>
      </c>
    </row>
    <row r="130" spans="1:6">
      <c r="A130" s="111" t="s">
        <v>404</v>
      </c>
      <c r="B130" s="3" t="s">
        <v>166</v>
      </c>
      <c r="C130" s="3" t="s">
        <v>97</v>
      </c>
      <c r="D130">
        <v>233</v>
      </c>
      <c r="E130">
        <v>149</v>
      </c>
      <c r="F130">
        <v>216</v>
      </c>
    </row>
    <row r="131" spans="1:6">
      <c r="A131" s="111" t="s">
        <v>405</v>
      </c>
      <c r="B131" s="3" t="s">
        <v>166</v>
      </c>
      <c r="C131" s="3" t="s">
        <v>44</v>
      </c>
      <c r="D131">
        <v>230</v>
      </c>
      <c r="E131">
        <v>153</v>
      </c>
      <c r="F131">
        <v>216</v>
      </c>
    </row>
    <row r="132" spans="1:6">
      <c r="A132" s="111" t="s">
        <v>406</v>
      </c>
      <c r="B132" s="3" t="s">
        <v>73</v>
      </c>
      <c r="C132" s="3" t="s">
        <v>118</v>
      </c>
      <c r="D132">
        <v>90</v>
      </c>
      <c r="E132">
        <v>144</v>
      </c>
      <c r="F132">
        <v>137</v>
      </c>
    </row>
    <row r="133" spans="1:6">
      <c r="A133" s="111" t="s">
        <v>407</v>
      </c>
      <c r="B133" s="3" t="s">
        <v>73</v>
      </c>
      <c r="C133" s="3" t="s">
        <v>118</v>
      </c>
      <c r="D133">
        <v>144</v>
      </c>
      <c r="E133">
        <v>186</v>
      </c>
      <c r="F133">
        <v>155</v>
      </c>
    </row>
    <row r="134" spans="1:6">
      <c r="A134" s="111" t="s">
        <v>408</v>
      </c>
      <c r="B134" s="3" t="s">
        <v>100</v>
      </c>
      <c r="C134" s="3" t="s">
        <v>266</v>
      </c>
      <c r="D134">
        <v>144</v>
      </c>
      <c r="E134">
        <v>186</v>
      </c>
      <c r="F134">
        <v>155</v>
      </c>
    </row>
    <row r="135" spans="1:6">
      <c r="A135" s="111" t="s">
        <v>1442</v>
      </c>
      <c r="B135" s="3" t="s">
        <v>94</v>
      </c>
      <c r="C135" s="3" t="s">
        <v>118</v>
      </c>
      <c r="D135">
        <v>224</v>
      </c>
      <c r="E135">
        <v>181</v>
      </c>
      <c r="F135">
        <v>137</v>
      </c>
    </row>
    <row r="136" spans="1:6">
      <c r="A136" s="111" t="s">
        <v>409</v>
      </c>
      <c r="B136" s="3" t="s">
        <v>94</v>
      </c>
      <c r="C136" s="3" t="s">
        <v>118</v>
      </c>
      <c r="D136">
        <v>193</v>
      </c>
      <c r="E136">
        <v>197</v>
      </c>
      <c r="F136">
        <v>137</v>
      </c>
    </row>
    <row r="137" spans="1:6">
      <c r="A137" s="111" t="s">
        <v>410</v>
      </c>
      <c r="B137" s="3" t="s">
        <v>169</v>
      </c>
      <c r="C137" s="3" t="s">
        <v>118</v>
      </c>
      <c r="D137">
        <v>108</v>
      </c>
      <c r="E137">
        <v>137</v>
      </c>
      <c r="F137">
        <v>207</v>
      </c>
    </row>
    <row r="138" spans="1:6">
      <c r="A138" s="111" t="s">
        <v>411</v>
      </c>
      <c r="B138" s="3" t="s">
        <v>274</v>
      </c>
      <c r="C138" s="3" t="s">
        <v>118</v>
      </c>
      <c r="D138">
        <v>119</v>
      </c>
      <c r="E138">
        <v>141</v>
      </c>
      <c r="F138">
        <v>120</v>
      </c>
    </row>
    <row r="139" spans="1:6">
      <c r="A139" s="111" t="s">
        <v>412</v>
      </c>
      <c r="B139" s="3" t="s">
        <v>274</v>
      </c>
      <c r="C139" s="3" t="s">
        <v>118</v>
      </c>
      <c r="D139">
        <v>174</v>
      </c>
      <c r="E139">
        <v>197</v>
      </c>
      <c r="F139">
        <v>163</v>
      </c>
    </row>
    <row r="140" spans="1:6">
      <c r="A140" s="111" t="s">
        <v>413</v>
      </c>
      <c r="B140" s="3" t="s">
        <v>274</v>
      </c>
      <c r="C140" s="3" t="s">
        <v>83</v>
      </c>
      <c r="D140">
        <v>174</v>
      </c>
      <c r="E140">
        <v>197</v>
      </c>
      <c r="F140">
        <v>163</v>
      </c>
    </row>
    <row r="141" spans="1:6">
      <c r="A141" s="111" t="s">
        <v>414</v>
      </c>
      <c r="B141" s="3" t="s">
        <v>73</v>
      </c>
      <c r="C141" s="3" t="s">
        <v>38</v>
      </c>
      <c r="D141">
        <v>140</v>
      </c>
      <c r="E141">
        <v>127</v>
      </c>
      <c r="F141">
        <v>190</v>
      </c>
    </row>
    <row r="142" spans="1:6">
      <c r="A142" s="111" t="s">
        <v>415</v>
      </c>
      <c r="B142" s="3" t="s">
        <v>73</v>
      </c>
      <c r="C142" s="3" t="s">
        <v>38</v>
      </c>
      <c r="D142">
        <v>222</v>
      </c>
      <c r="E142">
        <v>171</v>
      </c>
      <c r="F142">
        <v>233</v>
      </c>
    </row>
    <row r="143" spans="1:6">
      <c r="A143" s="111" t="s">
        <v>416</v>
      </c>
      <c r="B143" s="3" t="s">
        <v>169</v>
      </c>
      <c r="C143" s="3" t="s">
        <v>118</v>
      </c>
      <c r="D143">
        <v>60</v>
      </c>
      <c r="E143">
        <v>128</v>
      </c>
      <c r="F143">
        <v>487</v>
      </c>
    </row>
    <row r="144" spans="1:6">
      <c r="A144" s="111" t="s">
        <v>417</v>
      </c>
      <c r="B144" s="3" t="s">
        <v>166</v>
      </c>
      <c r="C144" s="3" t="s">
        <v>118</v>
      </c>
      <c r="D144">
        <v>183</v>
      </c>
      <c r="E144">
        <v>169</v>
      </c>
      <c r="F144">
        <v>163</v>
      </c>
    </row>
    <row r="145" spans="1:6">
      <c r="A145" s="111" t="s">
        <v>418</v>
      </c>
      <c r="B145" s="3" t="s">
        <v>169</v>
      </c>
      <c r="C145" s="3" t="s">
        <v>118</v>
      </c>
      <c r="D145">
        <v>181</v>
      </c>
      <c r="E145">
        <v>165</v>
      </c>
      <c r="F145">
        <v>233</v>
      </c>
    </row>
    <row r="146" spans="1:6">
      <c r="A146" s="111" t="s">
        <v>419</v>
      </c>
      <c r="B146" s="3" t="s">
        <v>172</v>
      </c>
      <c r="C146" s="3" t="s">
        <v>118</v>
      </c>
      <c r="D146">
        <v>129</v>
      </c>
      <c r="E146">
        <v>103</v>
      </c>
      <c r="F146">
        <v>102</v>
      </c>
    </row>
    <row r="147" spans="1:6">
      <c r="A147" s="111" t="s">
        <v>420</v>
      </c>
      <c r="B147" s="3" t="s">
        <v>172</v>
      </c>
      <c r="C147" s="3" t="s">
        <v>118</v>
      </c>
      <c r="D147">
        <v>187</v>
      </c>
      <c r="E147">
        <v>156</v>
      </c>
      <c r="F147">
        <v>146</v>
      </c>
    </row>
    <row r="148" spans="1:6">
      <c r="A148" s="111" t="s">
        <v>421</v>
      </c>
      <c r="B148" s="3" t="s">
        <v>172</v>
      </c>
      <c r="C148" s="3" t="s">
        <v>118</v>
      </c>
      <c r="D148">
        <v>123</v>
      </c>
      <c r="E148">
        <v>110</v>
      </c>
      <c r="F148">
        <v>128</v>
      </c>
    </row>
    <row r="149" spans="1:6">
      <c r="A149" s="111" t="s">
        <v>422</v>
      </c>
      <c r="B149" s="3" t="s">
        <v>172</v>
      </c>
      <c r="C149" s="3" t="s">
        <v>118</v>
      </c>
      <c r="D149">
        <v>175</v>
      </c>
      <c r="E149">
        <v>147</v>
      </c>
      <c r="F149">
        <v>190</v>
      </c>
    </row>
    <row r="150" spans="1:6">
      <c r="A150" s="111" t="s">
        <v>423</v>
      </c>
      <c r="B150" s="3" t="s">
        <v>172</v>
      </c>
      <c r="C150" s="3" t="s">
        <v>118</v>
      </c>
      <c r="D150">
        <v>137</v>
      </c>
      <c r="E150">
        <v>112</v>
      </c>
      <c r="F150">
        <v>102</v>
      </c>
    </row>
    <row r="151" spans="1:6">
      <c r="A151" s="111" t="s">
        <v>424</v>
      </c>
      <c r="B151" s="3" t="s">
        <v>172</v>
      </c>
      <c r="C151" s="3" t="s">
        <v>97</v>
      </c>
      <c r="D151">
        <v>210</v>
      </c>
      <c r="E151">
        <v>184</v>
      </c>
      <c r="F151">
        <v>155</v>
      </c>
    </row>
    <row r="152" spans="1:6">
      <c r="A152" s="111" t="s">
        <v>425</v>
      </c>
      <c r="B152" s="3" t="s">
        <v>97</v>
      </c>
      <c r="C152" s="3" t="s">
        <v>83</v>
      </c>
      <c r="D152">
        <v>192</v>
      </c>
      <c r="E152">
        <v>205</v>
      </c>
      <c r="F152">
        <v>120</v>
      </c>
    </row>
    <row r="153" spans="1:6">
      <c r="A153" s="111" t="s">
        <v>426</v>
      </c>
      <c r="B153" s="3" t="s">
        <v>98</v>
      </c>
      <c r="C153" s="3" t="s">
        <v>97</v>
      </c>
      <c r="D153">
        <v>183</v>
      </c>
      <c r="E153">
        <v>169</v>
      </c>
      <c r="F153">
        <v>137</v>
      </c>
    </row>
    <row r="154" spans="1:6">
      <c r="A154" s="111" t="s">
        <v>1443</v>
      </c>
      <c r="B154" s="3" t="s">
        <v>284</v>
      </c>
      <c r="C154" s="3" t="s">
        <v>96</v>
      </c>
      <c r="D154">
        <v>218</v>
      </c>
      <c r="E154">
        <v>170</v>
      </c>
      <c r="F154">
        <v>172</v>
      </c>
    </row>
    <row r="155" spans="1:6">
      <c r="A155" s="111" t="s">
        <v>427</v>
      </c>
      <c r="B155" s="3" t="s">
        <v>98</v>
      </c>
      <c r="C155" s="3" t="s">
        <v>97</v>
      </c>
      <c r="D155">
        <v>223</v>
      </c>
      <c r="E155">
        <v>151</v>
      </c>
      <c r="F155">
        <v>163</v>
      </c>
    </row>
    <row r="156" spans="1:6">
      <c r="A156" s="111" t="s">
        <v>428</v>
      </c>
      <c r="B156" s="3" t="s">
        <v>177</v>
      </c>
      <c r="C156" s="3" t="s">
        <v>118</v>
      </c>
      <c r="D156">
        <v>198</v>
      </c>
      <c r="E156">
        <v>158</v>
      </c>
      <c r="F156">
        <v>163</v>
      </c>
    </row>
    <row r="157" spans="1:6">
      <c r="A157" s="111" t="s">
        <v>429</v>
      </c>
      <c r="B157" s="3" t="s">
        <v>100</v>
      </c>
      <c r="C157" s="3" t="s">
        <v>118</v>
      </c>
      <c r="D157">
        <v>206</v>
      </c>
      <c r="E157">
        <v>154</v>
      </c>
      <c r="F157">
        <v>163</v>
      </c>
    </row>
    <row r="158" spans="1:6">
      <c r="A158" s="111" t="s">
        <v>430</v>
      </c>
      <c r="B158" s="3" t="s">
        <v>284</v>
      </c>
      <c r="C158" s="3" t="s">
        <v>118</v>
      </c>
      <c r="D158">
        <v>238</v>
      </c>
      <c r="E158">
        <v>182</v>
      </c>
      <c r="F158">
        <v>163</v>
      </c>
    </row>
    <row r="159" spans="1:6">
      <c r="A159" s="111" t="s">
        <v>431</v>
      </c>
      <c r="B159" s="3" t="s">
        <v>169</v>
      </c>
      <c r="C159" s="3" t="s">
        <v>118</v>
      </c>
      <c r="D159">
        <v>198</v>
      </c>
      <c r="E159">
        <v>183</v>
      </c>
      <c r="F159">
        <v>181</v>
      </c>
    </row>
    <row r="160" spans="1:6">
      <c r="A160" s="111" t="s">
        <v>432</v>
      </c>
      <c r="B160" s="3" t="s">
        <v>94</v>
      </c>
      <c r="C160" s="3" t="s">
        <v>172</v>
      </c>
      <c r="D160">
        <v>210</v>
      </c>
      <c r="E160">
        <v>193</v>
      </c>
      <c r="F160">
        <v>181</v>
      </c>
    </row>
    <row r="161" spans="1:6">
      <c r="A161" s="111" t="s">
        <v>433</v>
      </c>
      <c r="B161" s="3" t="s">
        <v>94</v>
      </c>
      <c r="C161" s="3" t="s">
        <v>100</v>
      </c>
      <c r="D161">
        <v>210</v>
      </c>
      <c r="E161">
        <v>193</v>
      </c>
      <c r="F161">
        <v>181</v>
      </c>
    </row>
    <row r="162" spans="1:6">
      <c r="A162" s="111" t="s">
        <v>434</v>
      </c>
      <c r="B162" s="3" t="s">
        <v>94</v>
      </c>
      <c r="C162" s="3" t="s">
        <v>118</v>
      </c>
      <c r="D162">
        <v>210</v>
      </c>
      <c r="E162">
        <v>193</v>
      </c>
      <c r="F162">
        <v>181</v>
      </c>
    </row>
    <row r="163" spans="1:6">
      <c r="A163" s="111" t="s">
        <v>435</v>
      </c>
      <c r="B163" s="3" t="s">
        <v>172</v>
      </c>
      <c r="C163" s="3" t="s">
        <v>118</v>
      </c>
      <c r="D163">
        <v>29</v>
      </c>
      <c r="E163">
        <v>85</v>
      </c>
      <c r="F163">
        <v>85</v>
      </c>
    </row>
    <row r="164" spans="1:6">
      <c r="A164" s="111" t="s">
        <v>436</v>
      </c>
      <c r="B164" s="3" t="s">
        <v>172</v>
      </c>
      <c r="C164" s="3" t="s">
        <v>96</v>
      </c>
      <c r="D164">
        <v>237</v>
      </c>
      <c r="E164">
        <v>186</v>
      </c>
      <c r="F164">
        <v>216</v>
      </c>
    </row>
    <row r="165" spans="1:6">
      <c r="A165" s="111" t="s">
        <v>437</v>
      </c>
      <c r="B165" s="3" t="s">
        <v>172</v>
      </c>
      <c r="C165" s="3" t="s">
        <v>98</v>
      </c>
      <c r="D165">
        <v>165</v>
      </c>
      <c r="E165">
        <v>174</v>
      </c>
      <c r="F165">
        <v>277</v>
      </c>
    </row>
    <row r="166" spans="1:6">
      <c r="A166" s="111" t="s">
        <v>438</v>
      </c>
      <c r="B166" s="3" t="s">
        <v>169</v>
      </c>
      <c r="C166" s="3" t="s">
        <v>118</v>
      </c>
      <c r="D166">
        <v>91</v>
      </c>
      <c r="E166">
        <v>91</v>
      </c>
      <c r="F166">
        <v>134</v>
      </c>
    </row>
    <row r="167" spans="1:6">
      <c r="A167" s="111" t="s">
        <v>439</v>
      </c>
      <c r="B167" s="3" t="s">
        <v>169</v>
      </c>
      <c r="C167" s="3" t="s">
        <v>118</v>
      </c>
      <c r="D167">
        <v>104</v>
      </c>
      <c r="E167">
        <v>114</v>
      </c>
      <c r="F167">
        <v>146</v>
      </c>
    </row>
    <row r="168" spans="1:6">
      <c r="A168" s="111" t="s">
        <v>170</v>
      </c>
      <c r="B168" s="3" t="s">
        <v>172</v>
      </c>
      <c r="C168" s="3" t="s">
        <v>118</v>
      </c>
      <c r="D168">
        <v>205</v>
      </c>
      <c r="E168">
        <v>161</v>
      </c>
      <c r="F168">
        <v>277</v>
      </c>
    </row>
    <row r="169" spans="1:6">
      <c r="A169" s="111" t="s">
        <v>173</v>
      </c>
      <c r="B169" s="3" t="s">
        <v>177</v>
      </c>
      <c r="C169" s="3" t="s">
        <v>118</v>
      </c>
      <c r="D169">
        <v>232</v>
      </c>
      <c r="E169">
        <v>182</v>
      </c>
      <c r="F169">
        <v>163</v>
      </c>
    </row>
    <row r="170" spans="1:6">
      <c r="A170" s="111" t="s">
        <v>175</v>
      </c>
      <c r="B170" s="3" t="s">
        <v>100</v>
      </c>
      <c r="C170" s="3" t="s">
        <v>118</v>
      </c>
      <c r="D170">
        <v>246</v>
      </c>
      <c r="E170">
        <v>179</v>
      </c>
      <c r="F170">
        <v>163</v>
      </c>
    </row>
    <row r="171" spans="1:6">
      <c r="A171" s="111" t="s">
        <v>440</v>
      </c>
      <c r="B171" s="3" t="s">
        <v>169</v>
      </c>
      <c r="C171" s="3" t="s">
        <v>118</v>
      </c>
      <c r="D171">
        <v>153</v>
      </c>
      <c r="E171">
        <v>136</v>
      </c>
      <c r="F171">
        <v>163</v>
      </c>
    </row>
    <row r="172" spans="1:6">
      <c r="A172" s="111" t="s">
        <v>21</v>
      </c>
      <c r="B172" s="3" t="s">
        <v>38</v>
      </c>
      <c r="C172" s="3" t="s">
        <v>172</v>
      </c>
      <c r="D172">
        <v>155</v>
      </c>
      <c r="E172">
        <v>153</v>
      </c>
      <c r="F172">
        <v>111</v>
      </c>
    </row>
    <row r="173" spans="1:6">
      <c r="A173" s="111" t="s">
        <v>84</v>
      </c>
      <c r="B173" s="3" t="s">
        <v>38</v>
      </c>
      <c r="C173" s="3" t="s">
        <v>172</v>
      </c>
      <c r="D173">
        <v>207</v>
      </c>
      <c r="E173">
        <v>201</v>
      </c>
      <c r="F173">
        <v>172</v>
      </c>
    </row>
    <row r="174" spans="1:6">
      <c r="A174" s="111" t="s">
        <v>441</v>
      </c>
      <c r="B174" s="3" t="s">
        <v>38</v>
      </c>
      <c r="C174" s="3" t="s">
        <v>172</v>
      </c>
      <c r="D174">
        <v>148</v>
      </c>
      <c r="E174">
        <v>140</v>
      </c>
      <c r="F174">
        <v>102</v>
      </c>
    </row>
    <row r="175" spans="1:6">
      <c r="A175" s="111" t="s">
        <v>20</v>
      </c>
      <c r="B175" s="3" t="s">
        <v>38</v>
      </c>
      <c r="C175" s="3" t="s">
        <v>172</v>
      </c>
      <c r="D175">
        <v>220</v>
      </c>
      <c r="E175">
        <v>186</v>
      </c>
      <c r="F175">
        <v>155</v>
      </c>
    </row>
    <row r="176" spans="1:6">
      <c r="A176" s="111" t="s">
        <v>442</v>
      </c>
      <c r="B176" s="3" t="s">
        <v>38</v>
      </c>
      <c r="C176" s="3" t="s">
        <v>96</v>
      </c>
      <c r="D176">
        <v>221</v>
      </c>
      <c r="E176">
        <v>159</v>
      </c>
      <c r="F176">
        <v>190</v>
      </c>
    </row>
    <row r="177" spans="1:6">
      <c r="A177" s="111" t="s">
        <v>443</v>
      </c>
      <c r="B177" s="3" t="s">
        <v>169</v>
      </c>
      <c r="C177" s="3" t="s">
        <v>118</v>
      </c>
      <c r="D177">
        <v>190</v>
      </c>
      <c r="E177">
        <v>169</v>
      </c>
      <c r="F177">
        <v>330</v>
      </c>
    </row>
    <row r="178" spans="1:6">
      <c r="A178" s="111" t="s">
        <v>444</v>
      </c>
      <c r="B178" s="3" t="s">
        <v>98</v>
      </c>
      <c r="C178" s="3" t="s">
        <v>96</v>
      </c>
      <c r="D178">
        <v>192</v>
      </c>
      <c r="E178">
        <v>236</v>
      </c>
      <c r="F178">
        <v>207</v>
      </c>
    </row>
    <row r="179" spans="1:6">
      <c r="A179" s="111" t="s">
        <v>445</v>
      </c>
      <c r="B179" s="3" t="s">
        <v>97</v>
      </c>
      <c r="C179" s="3" t="s">
        <v>96</v>
      </c>
      <c r="D179">
        <v>250</v>
      </c>
      <c r="E179">
        <v>197</v>
      </c>
      <c r="F179">
        <v>207</v>
      </c>
    </row>
    <row r="180" spans="1:6">
      <c r="A180" s="111" t="s">
        <v>446</v>
      </c>
      <c r="B180" s="3" t="s">
        <v>177</v>
      </c>
      <c r="C180" s="3" t="s">
        <v>96</v>
      </c>
      <c r="D180">
        <v>253</v>
      </c>
      <c r="E180">
        <v>185</v>
      </c>
      <c r="F180">
        <v>207</v>
      </c>
    </row>
    <row r="181" spans="1:6">
      <c r="A181" s="111" t="s">
        <v>447</v>
      </c>
      <c r="B181" s="3" t="s">
        <v>94</v>
      </c>
      <c r="C181" s="3" t="s">
        <v>96</v>
      </c>
      <c r="D181">
        <v>252</v>
      </c>
      <c r="E181">
        <v>189</v>
      </c>
      <c r="F181">
        <v>207</v>
      </c>
    </row>
    <row r="182" spans="1:6">
      <c r="A182" s="111" t="s">
        <v>7</v>
      </c>
      <c r="B182" s="3" t="s">
        <v>100</v>
      </c>
      <c r="C182" s="3" t="s">
        <v>96</v>
      </c>
      <c r="D182">
        <v>251</v>
      </c>
      <c r="E182">
        <v>181</v>
      </c>
      <c r="F182">
        <v>207</v>
      </c>
    </row>
    <row r="183" spans="1:6">
      <c r="A183" s="111" t="s">
        <v>448</v>
      </c>
      <c r="B183" s="3" t="s">
        <v>159</v>
      </c>
      <c r="C183" s="3" t="s">
        <v>96</v>
      </c>
      <c r="D183">
        <v>202</v>
      </c>
      <c r="E183">
        <v>231</v>
      </c>
      <c r="F183">
        <v>207</v>
      </c>
    </row>
    <row r="184" spans="1:6">
      <c r="A184" s="111" t="s">
        <v>449</v>
      </c>
      <c r="B184" s="3" t="s">
        <v>44</v>
      </c>
      <c r="C184" s="3" t="s">
        <v>118</v>
      </c>
      <c r="D184">
        <v>119</v>
      </c>
      <c r="E184">
        <v>91</v>
      </c>
      <c r="F184">
        <v>121</v>
      </c>
    </row>
    <row r="185" spans="1:6">
      <c r="A185" s="111" t="s">
        <v>450</v>
      </c>
      <c r="B185" s="3" t="s">
        <v>44</v>
      </c>
      <c r="C185" s="3" t="s">
        <v>118</v>
      </c>
      <c r="D185">
        <v>163</v>
      </c>
      <c r="E185">
        <v>135</v>
      </c>
      <c r="F185">
        <v>156</v>
      </c>
    </row>
    <row r="186" spans="1:6">
      <c r="A186" s="111" t="s">
        <v>451</v>
      </c>
      <c r="B186" s="3" t="s">
        <v>44</v>
      </c>
      <c r="C186" s="3" t="s">
        <v>96</v>
      </c>
      <c r="D186">
        <v>263</v>
      </c>
      <c r="E186">
        <v>198</v>
      </c>
      <c r="F186">
        <v>209</v>
      </c>
    </row>
    <row r="187" spans="1:6">
      <c r="A187" s="111" t="s">
        <v>452</v>
      </c>
      <c r="B187" s="3" t="s">
        <v>97</v>
      </c>
      <c r="C187" s="3" t="s">
        <v>118</v>
      </c>
      <c r="D187">
        <v>300</v>
      </c>
      <c r="E187">
        <v>182</v>
      </c>
      <c r="F187">
        <v>214</v>
      </c>
    </row>
    <row r="188" spans="1:6">
      <c r="A188" s="111" t="s">
        <v>453</v>
      </c>
      <c r="B188" s="3" t="s">
        <v>97</v>
      </c>
      <c r="C188" s="3" t="s">
        <v>118</v>
      </c>
      <c r="D188">
        <v>182</v>
      </c>
      <c r="E188">
        <v>278</v>
      </c>
      <c r="F188">
        <v>214</v>
      </c>
    </row>
    <row r="189" spans="1:6">
      <c r="A189" s="111" t="s">
        <v>454</v>
      </c>
      <c r="B189" s="3" t="s">
        <v>97</v>
      </c>
      <c r="C189" s="3" t="s">
        <v>118</v>
      </c>
      <c r="D189">
        <v>210</v>
      </c>
      <c r="E189">
        <v>210</v>
      </c>
      <c r="F189">
        <v>225</v>
      </c>
    </row>
    <row r="190" spans="1:6">
      <c r="A190" s="111" t="s">
        <v>455</v>
      </c>
      <c r="B190" s="3" t="s">
        <v>166</v>
      </c>
      <c r="C190" s="3" t="s">
        <v>118</v>
      </c>
      <c r="D190">
        <v>92</v>
      </c>
      <c r="E190">
        <v>122</v>
      </c>
      <c r="F190">
        <v>128</v>
      </c>
    </row>
    <row r="191" spans="1:6">
      <c r="A191" s="111" t="s">
        <v>456</v>
      </c>
      <c r="B191" s="3" t="s">
        <v>166</v>
      </c>
      <c r="C191" s="3" t="s">
        <v>118</v>
      </c>
      <c r="D191">
        <v>122</v>
      </c>
      <c r="E191">
        <v>155</v>
      </c>
      <c r="F191">
        <v>155</v>
      </c>
    </row>
    <row r="192" spans="1:6">
      <c r="A192" s="111" t="s">
        <v>457</v>
      </c>
      <c r="B192" s="3" t="s">
        <v>166</v>
      </c>
      <c r="C192" s="3" t="s">
        <v>118</v>
      </c>
      <c r="D192">
        <v>168</v>
      </c>
      <c r="E192">
        <v>202</v>
      </c>
      <c r="F192">
        <v>190</v>
      </c>
    </row>
    <row r="193" spans="1:6">
      <c r="A193" s="111" t="s">
        <v>458</v>
      </c>
      <c r="B193" s="3" t="s">
        <v>100</v>
      </c>
      <c r="C193" s="3" t="s">
        <v>118</v>
      </c>
      <c r="D193">
        <v>116</v>
      </c>
      <c r="E193">
        <v>93</v>
      </c>
      <c r="F193">
        <v>118</v>
      </c>
    </row>
    <row r="194" spans="1:6">
      <c r="A194" s="111" t="s">
        <v>459</v>
      </c>
      <c r="B194" s="3" t="s">
        <v>100</v>
      </c>
      <c r="C194" s="3" t="s">
        <v>118</v>
      </c>
      <c r="D194">
        <v>158</v>
      </c>
      <c r="E194">
        <v>126</v>
      </c>
      <c r="F194">
        <v>151</v>
      </c>
    </row>
    <row r="195" spans="1:6">
      <c r="A195" s="111" t="s">
        <v>460</v>
      </c>
      <c r="B195" s="3" t="s">
        <v>100</v>
      </c>
      <c r="C195" s="3" t="s">
        <v>118</v>
      </c>
      <c r="D195">
        <v>223</v>
      </c>
      <c r="E195">
        <v>173</v>
      </c>
      <c r="F195">
        <v>186</v>
      </c>
    </row>
    <row r="196" spans="1:6">
      <c r="A196" s="111" t="s">
        <v>461</v>
      </c>
      <c r="B196" s="3" t="s">
        <v>100</v>
      </c>
      <c r="C196" s="3" t="s">
        <v>266</v>
      </c>
      <c r="D196">
        <v>238</v>
      </c>
      <c r="E196">
        <v>172</v>
      </c>
      <c r="F196">
        <v>177</v>
      </c>
    </row>
    <row r="197" spans="1:6">
      <c r="A197" s="111" t="s">
        <v>462</v>
      </c>
      <c r="B197" s="3" t="s">
        <v>172</v>
      </c>
      <c r="C197" s="3" t="s">
        <v>118</v>
      </c>
      <c r="D197">
        <v>117</v>
      </c>
      <c r="E197">
        <v>109</v>
      </c>
      <c r="F197">
        <v>137</v>
      </c>
    </row>
    <row r="198" spans="1:6">
      <c r="A198" s="111" t="s">
        <v>463</v>
      </c>
      <c r="B198" s="3" t="s">
        <v>172</v>
      </c>
      <c r="C198" s="3" t="s">
        <v>118</v>
      </c>
      <c r="D198">
        <v>150</v>
      </c>
      <c r="E198">
        <v>142</v>
      </c>
      <c r="F198">
        <v>163</v>
      </c>
    </row>
    <row r="199" spans="1:6">
      <c r="A199" s="111" t="s">
        <v>464</v>
      </c>
      <c r="B199" s="3" t="s">
        <v>172</v>
      </c>
      <c r="C199" s="3" t="s">
        <v>118</v>
      </c>
      <c r="D199">
        <v>205</v>
      </c>
      <c r="E199">
        <v>188</v>
      </c>
      <c r="F199">
        <v>198</v>
      </c>
    </row>
    <row r="200" spans="1:6">
      <c r="A200" s="111" t="s">
        <v>465</v>
      </c>
      <c r="B200" s="3" t="s">
        <v>169</v>
      </c>
      <c r="C200" s="3" t="s">
        <v>118</v>
      </c>
      <c r="D200">
        <v>79</v>
      </c>
      <c r="E200">
        <v>73</v>
      </c>
      <c r="F200">
        <v>111</v>
      </c>
    </row>
    <row r="201" spans="1:6">
      <c r="A201" s="111" t="s">
        <v>466</v>
      </c>
      <c r="B201" s="3" t="s">
        <v>169</v>
      </c>
      <c r="C201" s="3" t="s">
        <v>118</v>
      </c>
      <c r="D201">
        <v>148</v>
      </c>
      <c r="E201">
        <v>125</v>
      </c>
      <c r="F201">
        <v>198</v>
      </c>
    </row>
    <row r="202" spans="1:6">
      <c r="A202" s="111" t="s">
        <v>467</v>
      </c>
      <c r="B202" s="3" t="s">
        <v>169</v>
      </c>
      <c r="C202" s="3" t="s">
        <v>96</v>
      </c>
      <c r="D202">
        <v>67</v>
      </c>
      <c r="E202">
        <v>88</v>
      </c>
      <c r="F202">
        <v>155</v>
      </c>
    </row>
    <row r="203" spans="1:6">
      <c r="A203" s="111" t="s">
        <v>468</v>
      </c>
      <c r="B203" s="3" t="s">
        <v>169</v>
      </c>
      <c r="C203" s="3" t="s">
        <v>96</v>
      </c>
      <c r="D203">
        <v>145</v>
      </c>
      <c r="E203">
        <v>156</v>
      </c>
      <c r="F203">
        <v>225</v>
      </c>
    </row>
    <row r="204" spans="1:6">
      <c r="A204" s="111" t="s">
        <v>469</v>
      </c>
      <c r="B204" s="3" t="s">
        <v>284</v>
      </c>
      <c r="C204" s="3" t="s">
        <v>96</v>
      </c>
      <c r="D204">
        <v>72</v>
      </c>
      <c r="E204">
        <v>118</v>
      </c>
      <c r="F204">
        <v>120</v>
      </c>
    </row>
    <row r="205" spans="1:6">
      <c r="A205" s="111" t="s">
        <v>470</v>
      </c>
      <c r="B205" s="3" t="s">
        <v>284</v>
      </c>
      <c r="C205" s="3" t="s">
        <v>96</v>
      </c>
      <c r="D205">
        <v>107</v>
      </c>
      <c r="E205">
        <v>179</v>
      </c>
      <c r="F205">
        <v>146</v>
      </c>
    </row>
    <row r="206" spans="1:6">
      <c r="A206" s="111" t="s">
        <v>471</v>
      </c>
      <c r="B206" s="3" t="s">
        <v>284</v>
      </c>
      <c r="C206" s="3" t="s">
        <v>274</v>
      </c>
      <c r="D206">
        <v>105</v>
      </c>
      <c r="E206">
        <v>73</v>
      </c>
      <c r="F206">
        <v>120</v>
      </c>
    </row>
    <row r="207" spans="1:6">
      <c r="A207" s="111" t="s">
        <v>472</v>
      </c>
      <c r="B207" s="3" t="s">
        <v>284</v>
      </c>
      <c r="C207" s="3" t="s">
        <v>274</v>
      </c>
      <c r="D207">
        <v>161</v>
      </c>
      <c r="E207">
        <v>124</v>
      </c>
      <c r="F207">
        <v>172</v>
      </c>
    </row>
    <row r="208" spans="1:6">
      <c r="A208" s="111" t="s">
        <v>473</v>
      </c>
      <c r="B208" s="3" t="s">
        <v>274</v>
      </c>
      <c r="C208" s="3" t="s">
        <v>96</v>
      </c>
      <c r="D208">
        <v>194</v>
      </c>
      <c r="E208">
        <v>178</v>
      </c>
      <c r="F208">
        <v>198</v>
      </c>
    </row>
    <row r="209" spans="1:6">
      <c r="A209" s="111" t="s">
        <v>474</v>
      </c>
      <c r="B209" s="3" t="s">
        <v>172</v>
      </c>
      <c r="C209" s="3" t="s">
        <v>177</v>
      </c>
      <c r="D209">
        <v>106</v>
      </c>
      <c r="E209">
        <v>97</v>
      </c>
      <c r="F209">
        <v>181</v>
      </c>
    </row>
    <row r="210" spans="1:6">
      <c r="A210" s="111" t="s">
        <v>475</v>
      </c>
      <c r="B210" s="3" t="s">
        <v>172</v>
      </c>
      <c r="C210" s="3" t="s">
        <v>177</v>
      </c>
      <c r="D210">
        <v>146</v>
      </c>
      <c r="E210">
        <v>137</v>
      </c>
      <c r="F210">
        <v>268</v>
      </c>
    </row>
    <row r="211" spans="1:6">
      <c r="A211" s="111" t="s">
        <v>476</v>
      </c>
      <c r="B211" s="3" t="s">
        <v>172</v>
      </c>
      <c r="C211" s="3" t="s">
        <v>177</v>
      </c>
      <c r="D211">
        <v>146</v>
      </c>
      <c r="E211">
        <v>137</v>
      </c>
      <c r="F211">
        <v>268</v>
      </c>
    </row>
    <row r="212" spans="1:6">
      <c r="A212" s="111" t="s">
        <v>477</v>
      </c>
      <c r="B212" s="3" t="s">
        <v>177</v>
      </c>
      <c r="C212" s="3" t="s">
        <v>118</v>
      </c>
      <c r="D212">
        <v>77</v>
      </c>
      <c r="E212">
        <v>53</v>
      </c>
      <c r="F212">
        <v>85</v>
      </c>
    </row>
    <row r="213" spans="1:6">
      <c r="A213" s="111" t="s">
        <v>478</v>
      </c>
      <c r="B213" s="3" t="s">
        <v>83</v>
      </c>
      <c r="C213" s="3" t="s">
        <v>118</v>
      </c>
      <c r="D213">
        <v>75</v>
      </c>
      <c r="E213">
        <v>79</v>
      </c>
      <c r="F213">
        <v>137</v>
      </c>
    </row>
    <row r="214" spans="1:6">
      <c r="A214" s="111" t="s">
        <v>479</v>
      </c>
      <c r="B214" s="3" t="s">
        <v>169</v>
      </c>
      <c r="C214" s="3" t="s">
        <v>83</v>
      </c>
      <c r="D214">
        <v>69</v>
      </c>
      <c r="E214">
        <v>32</v>
      </c>
      <c r="F214">
        <v>207</v>
      </c>
    </row>
    <row r="215" spans="1:6">
      <c r="A215" s="111" t="s">
        <v>480</v>
      </c>
      <c r="B215" s="3" t="s">
        <v>83</v>
      </c>
      <c r="C215" s="3" t="s">
        <v>118</v>
      </c>
      <c r="D215">
        <v>67</v>
      </c>
      <c r="E215">
        <v>116</v>
      </c>
      <c r="F215">
        <v>111</v>
      </c>
    </row>
    <row r="216" spans="1:6">
      <c r="A216" s="111" t="s">
        <v>481</v>
      </c>
      <c r="B216" s="3" t="s">
        <v>83</v>
      </c>
      <c r="C216" s="3" t="s">
        <v>96</v>
      </c>
      <c r="D216">
        <v>139</v>
      </c>
      <c r="E216">
        <v>181</v>
      </c>
      <c r="F216">
        <v>146</v>
      </c>
    </row>
    <row r="217" spans="1:6">
      <c r="A217" s="111" t="s">
        <v>482</v>
      </c>
      <c r="B217" s="3" t="s">
        <v>97</v>
      </c>
      <c r="C217" s="3" t="s">
        <v>96</v>
      </c>
      <c r="D217">
        <v>134</v>
      </c>
      <c r="E217">
        <v>89</v>
      </c>
      <c r="F217">
        <v>120</v>
      </c>
    </row>
    <row r="218" spans="1:6">
      <c r="A218" s="111" t="s">
        <v>483</v>
      </c>
      <c r="B218" s="3" t="s">
        <v>97</v>
      </c>
      <c r="C218" s="3" t="s">
        <v>96</v>
      </c>
      <c r="D218">
        <v>192</v>
      </c>
      <c r="E218">
        <v>146</v>
      </c>
      <c r="F218">
        <v>163</v>
      </c>
    </row>
    <row r="219" spans="1:6">
      <c r="A219" s="111" t="s">
        <v>484</v>
      </c>
      <c r="B219" s="3" t="s">
        <v>177</v>
      </c>
      <c r="C219" s="3" t="s">
        <v>118</v>
      </c>
      <c r="D219">
        <v>114</v>
      </c>
      <c r="E219">
        <v>79</v>
      </c>
      <c r="F219">
        <v>146</v>
      </c>
    </row>
    <row r="220" spans="1:6">
      <c r="A220" s="111" t="s">
        <v>485</v>
      </c>
      <c r="B220" s="3" t="s">
        <v>177</v>
      </c>
      <c r="C220" s="3" t="s">
        <v>118</v>
      </c>
      <c r="D220">
        <v>145</v>
      </c>
      <c r="E220">
        <v>109</v>
      </c>
      <c r="F220">
        <v>172</v>
      </c>
    </row>
    <row r="221" spans="1:6">
      <c r="A221" s="111" t="s">
        <v>486</v>
      </c>
      <c r="B221" s="3" t="s">
        <v>177</v>
      </c>
      <c r="C221" s="3" t="s">
        <v>118</v>
      </c>
      <c r="D221">
        <v>211</v>
      </c>
      <c r="E221">
        <v>169</v>
      </c>
      <c r="F221">
        <v>207</v>
      </c>
    </row>
    <row r="222" spans="1:6">
      <c r="A222" s="111" t="s">
        <v>487</v>
      </c>
      <c r="B222" s="3" t="s">
        <v>166</v>
      </c>
      <c r="C222" s="3" t="s">
        <v>118</v>
      </c>
      <c r="D222">
        <v>169</v>
      </c>
      <c r="E222">
        <v>186</v>
      </c>
      <c r="F222">
        <v>181</v>
      </c>
    </row>
    <row r="223" spans="1:6">
      <c r="A223" s="111" t="s">
        <v>488</v>
      </c>
      <c r="B223" s="3" t="s">
        <v>172</v>
      </c>
      <c r="C223" s="3" t="s">
        <v>83</v>
      </c>
      <c r="D223">
        <v>37</v>
      </c>
      <c r="E223">
        <v>93</v>
      </c>
      <c r="F223">
        <v>172</v>
      </c>
    </row>
    <row r="224" spans="1:6">
      <c r="A224" s="111" t="s">
        <v>489</v>
      </c>
      <c r="B224" s="3" t="s">
        <v>172</v>
      </c>
      <c r="C224" s="3" t="s">
        <v>83</v>
      </c>
      <c r="D224">
        <v>112</v>
      </c>
      <c r="E224">
        <v>152</v>
      </c>
      <c r="F224">
        <v>225</v>
      </c>
    </row>
    <row r="225" spans="1:6">
      <c r="A225" s="111" t="s">
        <v>490</v>
      </c>
      <c r="B225" s="3" t="s">
        <v>38</v>
      </c>
      <c r="C225" s="3" t="s">
        <v>118</v>
      </c>
      <c r="D225">
        <v>167</v>
      </c>
      <c r="E225">
        <v>176</v>
      </c>
      <c r="F225">
        <v>172</v>
      </c>
    </row>
    <row r="226" spans="1:6">
      <c r="A226" s="111" t="s">
        <v>491</v>
      </c>
      <c r="B226" s="3" t="s">
        <v>172</v>
      </c>
      <c r="C226" s="3" t="s">
        <v>118</v>
      </c>
      <c r="D226">
        <v>174</v>
      </c>
      <c r="E226">
        <v>179</v>
      </c>
      <c r="F226">
        <v>207</v>
      </c>
    </row>
    <row r="227" spans="1:6">
      <c r="A227" s="111" t="s">
        <v>492</v>
      </c>
      <c r="B227" s="3" t="s">
        <v>166</v>
      </c>
      <c r="C227" s="3" t="s">
        <v>96</v>
      </c>
      <c r="D227">
        <v>67</v>
      </c>
      <c r="E227">
        <v>94</v>
      </c>
      <c r="F227">
        <v>111</v>
      </c>
    </row>
    <row r="228" spans="1:6">
      <c r="A228" s="111" t="s">
        <v>493</v>
      </c>
      <c r="B228" s="3" t="s">
        <v>166</v>
      </c>
      <c r="C228" s="3" t="s">
        <v>96</v>
      </c>
      <c r="D228">
        <v>91</v>
      </c>
      <c r="E228">
        <v>120</v>
      </c>
      <c r="F228">
        <v>146</v>
      </c>
    </row>
    <row r="229" spans="1:6">
      <c r="A229" s="111" t="s">
        <v>494</v>
      </c>
      <c r="B229" s="3" t="s">
        <v>166</v>
      </c>
      <c r="C229" s="3" t="s">
        <v>96</v>
      </c>
      <c r="D229">
        <v>118</v>
      </c>
      <c r="E229">
        <v>183</v>
      </c>
      <c r="F229">
        <v>181</v>
      </c>
    </row>
    <row r="230" spans="1:6">
      <c r="A230" s="111" t="s">
        <v>495</v>
      </c>
      <c r="B230" s="3" t="s">
        <v>169</v>
      </c>
      <c r="C230" s="3" t="s">
        <v>118</v>
      </c>
      <c r="D230">
        <v>136</v>
      </c>
      <c r="E230">
        <v>112</v>
      </c>
      <c r="F230">
        <v>146</v>
      </c>
    </row>
    <row r="231" spans="1:6">
      <c r="A231" s="111" t="s">
        <v>496</v>
      </c>
      <c r="B231" s="3" t="s">
        <v>166</v>
      </c>
      <c r="C231" s="3" t="s">
        <v>118</v>
      </c>
      <c r="D231">
        <v>55</v>
      </c>
      <c r="E231">
        <v>55</v>
      </c>
      <c r="F231">
        <v>102</v>
      </c>
    </row>
    <row r="232" spans="1:6">
      <c r="A232" s="111" t="s">
        <v>497</v>
      </c>
      <c r="B232" s="3" t="s">
        <v>166</v>
      </c>
      <c r="C232" s="3" t="s">
        <v>118</v>
      </c>
      <c r="D232">
        <v>185</v>
      </c>
      <c r="E232">
        <v>135</v>
      </c>
      <c r="F232">
        <v>181</v>
      </c>
    </row>
    <row r="233" spans="1:6">
      <c r="A233" s="111" t="s">
        <v>498</v>
      </c>
      <c r="B233" s="3" t="s">
        <v>284</v>
      </c>
      <c r="C233" s="3" t="s">
        <v>96</v>
      </c>
      <c r="D233">
        <v>154</v>
      </c>
      <c r="E233">
        <v>94</v>
      </c>
      <c r="F233">
        <v>163</v>
      </c>
    </row>
    <row r="234" spans="1:6">
      <c r="A234" s="111" t="s">
        <v>499</v>
      </c>
      <c r="B234" s="3" t="s">
        <v>172</v>
      </c>
      <c r="C234" s="3" t="s">
        <v>73</v>
      </c>
      <c r="D234">
        <v>75</v>
      </c>
      <c r="E234">
        <v>66</v>
      </c>
      <c r="F234">
        <v>146</v>
      </c>
    </row>
    <row r="235" spans="1:6">
      <c r="A235" s="111" t="s">
        <v>500</v>
      </c>
      <c r="B235" s="3" t="s">
        <v>274</v>
      </c>
      <c r="C235" s="3" t="s">
        <v>73</v>
      </c>
      <c r="D235">
        <v>75</v>
      </c>
      <c r="E235">
        <v>66</v>
      </c>
      <c r="F235">
        <v>146</v>
      </c>
    </row>
    <row r="236" spans="1:6">
      <c r="A236" s="111" t="s">
        <v>501</v>
      </c>
      <c r="B236" s="3" t="s">
        <v>172</v>
      </c>
      <c r="C236" s="3" t="s">
        <v>73</v>
      </c>
      <c r="D236">
        <v>152</v>
      </c>
      <c r="E236">
        <v>143</v>
      </c>
      <c r="F236">
        <v>216</v>
      </c>
    </row>
    <row r="237" spans="1:6">
      <c r="A237" s="111" t="s">
        <v>178</v>
      </c>
      <c r="B237" s="3" t="s">
        <v>97</v>
      </c>
      <c r="C237" s="3" t="s">
        <v>118</v>
      </c>
      <c r="D237">
        <v>261</v>
      </c>
      <c r="E237">
        <v>175</v>
      </c>
      <c r="F237">
        <v>163</v>
      </c>
    </row>
    <row r="238" spans="1:6">
      <c r="A238" s="111" t="s">
        <v>179</v>
      </c>
      <c r="B238" s="3" t="s">
        <v>159</v>
      </c>
      <c r="C238" s="3" t="s">
        <v>118</v>
      </c>
      <c r="D238">
        <v>126</v>
      </c>
      <c r="E238">
        <v>240</v>
      </c>
      <c r="F238">
        <v>216</v>
      </c>
    </row>
    <row r="239" spans="1:6">
      <c r="A239" s="111" t="s">
        <v>502</v>
      </c>
      <c r="B239" s="3" t="s">
        <v>159</v>
      </c>
      <c r="C239" s="3" t="s">
        <v>96</v>
      </c>
      <c r="D239">
        <v>175</v>
      </c>
      <c r="E239">
        <v>87</v>
      </c>
      <c r="F239">
        <v>155</v>
      </c>
    </row>
    <row r="240" spans="1:6">
      <c r="A240" s="111" t="s">
        <v>503</v>
      </c>
      <c r="B240" s="3" t="s">
        <v>172</v>
      </c>
      <c r="C240" s="3" t="s">
        <v>97</v>
      </c>
      <c r="D240">
        <v>177</v>
      </c>
      <c r="E240">
        <v>180</v>
      </c>
      <c r="F240">
        <v>216</v>
      </c>
    </row>
    <row r="241" spans="1:6">
      <c r="A241" s="111" t="s">
        <v>504</v>
      </c>
      <c r="B241" s="3" t="s">
        <v>274</v>
      </c>
      <c r="C241" s="3" t="s">
        <v>97</v>
      </c>
      <c r="D241">
        <v>190</v>
      </c>
      <c r="E241">
        <v>180</v>
      </c>
      <c r="F241">
        <v>216</v>
      </c>
    </row>
    <row r="242" spans="1:6">
      <c r="A242" s="111" t="s">
        <v>505</v>
      </c>
      <c r="B242" s="3" t="s">
        <v>266</v>
      </c>
      <c r="C242" s="3" t="s">
        <v>118</v>
      </c>
      <c r="D242">
        <v>167</v>
      </c>
      <c r="E242">
        <v>154</v>
      </c>
      <c r="F242">
        <v>155</v>
      </c>
    </row>
    <row r="243" spans="1:6">
      <c r="A243" s="111" t="s">
        <v>506</v>
      </c>
      <c r="B243" s="3" t="s">
        <v>97</v>
      </c>
      <c r="C243" s="3" t="s">
        <v>118</v>
      </c>
      <c r="D243">
        <v>136</v>
      </c>
      <c r="E243">
        <v>91</v>
      </c>
      <c r="F243">
        <v>134</v>
      </c>
    </row>
    <row r="244" spans="1:6">
      <c r="A244" s="111" t="s">
        <v>507</v>
      </c>
      <c r="B244" s="3" t="s">
        <v>97</v>
      </c>
      <c r="C244" s="3" t="s">
        <v>118</v>
      </c>
      <c r="D244">
        <v>60</v>
      </c>
      <c r="E244">
        <v>106</v>
      </c>
      <c r="F244">
        <v>382</v>
      </c>
    </row>
    <row r="245" spans="1:6">
      <c r="A245" s="111" t="s">
        <v>508</v>
      </c>
      <c r="B245" s="3" t="s">
        <v>169</v>
      </c>
      <c r="C245" s="3" t="s">
        <v>97</v>
      </c>
      <c r="D245">
        <v>182</v>
      </c>
      <c r="E245">
        <v>133</v>
      </c>
      <c r="F245">
        <v>172</v>
      </c>
    </row>
    <row r="246" spans="1:6">
      <c r="A246" s="111" t="s">
        <v>509</v>
      </c>
      <c r="B246" s="3" t="s">
        <v>284</v>
      </c>
      <c r="C246" s="3" t="s">
        <v>118</v>
      </c>
      <c r="D246">
        <v>108</v>
      </c>
      <c r="E246">
        <v>122</v>
      </c>
      <c r="F246">
        <v>137</v>
      </c>
    </row>
    <row r="247" spans="1:6">
      <c r="A247" s="111" t="s">
        <v>510</v>
      </c>
      <c r="B247" s="3" t="s">
        <v>284</v>
      </c>
      <c r="C247" s="3" t="s">
        <v>306</v>
      </c>
      <c r="D247">
        <v>161</v>
      </c>
      <c r="E247">
        <v>205</v>
      </c>
      <c r="F247">
        <v>181</v>
      </c>
    </row>
    <row r="248" spans="1:6">
      <c r="A248" s="111" t="s">
        <v>511</v>
      </c>
      <c r="B248" s="3" t="s">
        <v>169</v>
      </c>
      <c r="C248" s="3" t="s">
        <v>118</v>
      </c>
      <c r="D248">
        <v>131</v>
      </c>
      <c r="E248">
        <v>128</v>
      </c>
      <c r="F248">
        <v>225</v>
      </c>
    </row>
    <row r="249" spans="1:6">
      <c r="A249" s="111" t="s">
        <v>512</v>
      </c>
      <c r="B249" s="3" t="s">
        <v>73</v>
      </c>
      <c r="C249" s="3" t="s">
        <v>96</v>
      </c>
      <c r="D249">
        <v>143</v>
      </c>
      <c r="E249">
        <v>184</v>
      </c>
      <c r="F249">
        <v>163</v>
      </c>
    </row>
    <row r="250" spans="1:6">
      <c r="A250" s="111" t="s">
        <v>513</v>
      </c>
      <c r="B250" s="3" t="s">
        <v>306</v>
      </c>
      <c r="C250" s="3" t="s">
        <v>73</v>
      </c>
      <c r="D250">
        <v>148</v>
      </c>
      <c r="E250">
        <v>272</v>
      </c>
      <c r="F250">
        <v>181</v>
      </c>
    </row>
    <row r="251" spans="1:6">
      <c r="A251" s="111" t="s">
        <v>514</v>
      </c>
      <c r="B251" s="3" t="s">
        <v>83</v>
      </c>
      <c r="C251" s="3" t="s">
        <v>118</v>
      </c>
      <c r="D251">
        <v>137</v>
      </c>
      <c r="E251">
        <v>85</v>
      </c>
      <c r="F251">
        <v>155</v>
      </c>
    </row>
    <row r="252" spans="1:6">
      <c r="A252" s="111" t="s">
        <v>515</v>
      </c>
      <c r="B252" s="3" t="s">
        <v>83</v>
      </c>
      <c r="C252" s="3" t="s">
        <v>118</v>
      </c>
      <c r="D252">
        <v>212</v>
      </c>
      <c r="E252">
        <v>131</v>
      </c>
      <c r="F252">
        <v>207</v>
      </c>
    </row>
    <row r="253" spans="1:6">
      <c r="A253" s="111" t="s">
        <v>516</v>
      </c>
      <c r="B253" s="3" t="s">
        <v>172</v>
      </c>
      <c r="C253" s="3" t="s">
        <v>274</v>
      </c>
      <c r="D253">
        <v>184</v>
      </c>
      <c r="E253">
        <v>138</v>
      </c>
      <c r="F253">
        <v>163</v>
      </c>
    </row>
    <row r="254" spans="1:6">
      <c r="A254" s="111" t="s">
        <v>517</v>
      </c>
      <c r="B254" s="3" t="s">
        <v>159</v>
      </c>
      <c r="C254" s="3" t="s">
        <v>274</v>
      </c>
      <c r="D254">
        <v>184</v>
      </c>
      <c r="E254">
        <v>151</v>
      </c>
      <c r="F254">
        <v>163</v>
      </c>
    </row>
    <row r="255" spans="1:6">
      <c r="A255" s="111" t="s">
        <v>518</v>
      </c>
      <c r="B255" s="3" t="s">
        <v>284</v>
      </c>
      <c r="C255" s="3" t="s">
        <v>306</v>
      </c>
      <c r="D255">
        <v>236</v>
      </c>
      <c r="E255">
        <v>181</v>
      </c>
      <c r="F255">
        <v>172</v>
      </c>
    </row>
    <row r="256" spans="1:6">
      <c r="A256" s="111" t="s">
        <v>519</v>
      </c>
      <c r="B256" s="3" t="s">
        <v>284</v>
      </c>
      <c r="C256" s="3" t="s">
        <v>38</v>
      </c>
      <c r="D256">
        <v>17</v>
      </c>
      <c r="E256">
        <v>396</v>
      </c>
      <c r="F256">
        <v>85</v>
      </c>
    </row>
    <row r="257" spans="1:6">
      <c r="A257" s="111" t="s">
        <v>520</v>
      </c>
      <c r="B257" s="3" t="s">
        <v>284</v>
      </c>
      <c r="C257" s="3" t="s">
        <v>94</v>
      </c>
      <c r="D257">
        <v>234</v>
      </c>
      <c r="E257">
        <v>179</v>
      </c>
      <c r="F257">
        <v>190</v>
      </c>
    </row>
    <row r="258" spans="1:6">
      <c r="A258" s="111" t="s">
        <v>521</v>
      </c>
      <c r="B258" s="3" t="s">
        <v>159</v>
      </c>
      <c r="C258" s="3" t="s">
        <v>98</v>
      </c>
      <c r="D258">
        <v>189</v>
      </c>
      <c r="E258">
        <v>146</v>
      </c>
      <c r="F258">
        <v>146</v>
      </c>
    </row>
    <row r="259" spans="1:6">
      <c r="A259" s="111" t="s">
        <v>522</v>
      </c>
      <c r="B259" s="3" t="s">
        <v>94</v>
      </c>
      <c r="C259" s="3" t="s">
        <v>274</v>
      </c>
      <c r="D259">
        <v>189</v>
      </c>
      <c r="E259">
        <v>146</v>
      </c>
      <c r="F259">
        <v>146</v>
      </c>
    </row>
    <row r="260" spans="1:6">
      <c r="A260" s="111" t="s">
        <v>523</v>
      </c>
      <c r="B260" s="3" t="s">
        <v>169</v>
      </c>
      <c r="C260" s="3" t="s">
        <v>118</v>
      </c>
      <c r="D260">
        <v>142</v>
      </c>
      <c r="E260">
        <v>93</v>
      </c>
      <c r="F260">
        <v>155</v>
      </c>
    </row>
    <row r="261" spans="1:6">
      <c r="A261" s="111" t="s">
        <v>524</v>
      </c>
      <c r="B261" s="3" t="s">
        <v>169</v>
      </c>
      <c r="C261" s="3" t="s">
        <v>118</v>
      </c>
      <c r="D261">
        <v>236</v>
      </c>
      <c r="E261">
        <v>144</v>
      </c>
      <c r="F261">
        <v>207</v>
      </c>
    </row>
    <row r="262" spans="1:6">
      <c r="A262" s="111" t="s">
        <v>525</v>
      </c>
      <c r="B262" s="3" t="s">
        <v>100</v>
      </c>
      <c r="C262" s="3" t="s">
        <v>118</v>
      </c>
      <c r="D262">
        <v>118</v>
      </c>
      <c r="E262">
        <v>71</v>
      </c>
      <c r="F262">
        <v>120</v>
      </c>
    </row>
    <row r="263" spans="1:6">
      <c r="A263" s="111" t="s">
        <v>526</v>
      </c>
      <c r="B263" s="3" t="s">
        <v>100</v>
      </c>
      <c r="C263" s="3" t="s">
        <v>38</v>
      </c>
      <c r="D263">
        <v>139</v>
      </c>
      <c r="E263">
        <v>191</v>
      </c>
      <c r="F263">
        <v>137</v>
      </c>
    </row>
    <row r="264" spans="1:6">
      <c r="A264" s="111" t="s">
        <v>527</v>
      </c>
      <c r="B264" s="3" t="s">
        <v>98</v>
      </c>
      <c r="C264" s="3" t="s">
        <v>73</v>
      </c>
      <c r="D264">
        <v>90</v>
      </c>
      <c r="E264">
        <v>69</v>
      </c>
      <c r="F264">
        <v>137</v>
      </c>
    </row>
    <row r="265" spans="1:6">
      <c r="A265" s="111" t="s">
        <v>528</v>
      </c>
      <c r="B265" s="3" t="s">
        <v>98</v>
      </c>
      <c r="C265" s="3" t="s">
        <v>73</v>
      </c>
      <c r="D265">
        <v>181</v>
      </c>
      <c r="E265">
        <v>138</v>
      </c>
      <c r="F265">
        <v>225</v>
      </c>
    </row>
    <row r="266" spans="1:6">
      <c r="A266" s="111" t="s">
        <v>529</v>
      </c>
      <c r="B266" s="3" t="s">
        <v>172</v>
      </c>
      <c r="C266" s="3" t="s">
        <v>38</v>
      </c>
      <c r="D266">
        <v>118</v>
      </c>
      <c r="E266">
        <v>156</v>
      </c>
      <c r="F266">
        <v>146</v>
      </c>
    </row>
    <row r="267" spans="1:6">
      <c r="A267" s="111" t="s">
        <v>530</v>
      </c>
      <c r="B267" s="3" t="s">
        <v>266</v>
      </c>
      <c r="C267" s="3" t="s">
        <v>118</v>
      </c>
      <c r="D267">
        <v>116</v>
      </c>
      <c r="E267">
        <v>182</v>
      </c>
      <c r="F267">
        <v>155</v>
      </c>
    </row>
    <row r="268" spans="1:6">
      <c r="A268" s="111" t="s">
        <v>531</v>
      </c>
      <c r="B268" s="3" t="s">
        <v>172</v>
      </c>
      <c r="C268" s="3" t="s">
        <v>118</v>
      </c>
      <c r="D268">
        <v>127</v>
      </c>
      <c r="E268">
        <v>69</v>
      </c>
      <c r="F268">
        <v>111</v>
      </c>
    </row>
    <row r="269" spans="1:6">
      <c r="A269" s="111" t="s">
        <v>532</v>
      </c>
      <c r="B269" s="3" t="s">
        <v>172</v>
      </c>
      <c r="C269" s="3" t="s">
        <v>118</v>
      </c>
      <c r="D269">
        <v>197</v>
      </c>
      <c r="E269">
        <v>141</v>
      </c>
      <c r="F269">
        <v>181</v>
      </c>
    </row>
    <row r="270" spans="1:6">
      <c r="A270" s="111" t="s">
        <v>533</v>
      </c>
      <c r="B270" s="3" t="s">
        <v>98</v>
      </c>
      <c r="C270" s="3" t="s">
        <v>96</v>
      </c>
      <c r="D270">
        <v>128</v>
      </c>
      <c r="E270">
        <v>90</v>
      </c>
      <c r="F270">
        <v>128</v>
      </c>
    </row>
    <row r="271" spans="1:6">
      <c r="A271" s="111" t="s">
        <v>1444</v>
      </c>
      <c r="B271" s="3" t="s">
        <v>172</v>
      </c>
      <c r="C271" s="3" t="s">
        <v>96</v>
      </c>
      <c r="D271">
        <v>148</v>
      </c>
      <c r="E271">
        <v>226</v>
      </c>
      <c r="F271">
        <v>163</v>
      </c>
    </row>
    <row r="272" spans="1:6">
      <c r="A272" s="111" t="s">
        <v>534</v>
      </c>
      <c r="B272" s="3" t="s">
        <v>306</v>
      </c>
      <c r="C272" s="3" t="s">
        <v>96</v>
      </c>
      <c r="D272">
        <v>148</v>
      </c>
      <c r="E272">
        <v>226</v>
      </c>
      <c r="F272">
        <v>163</v>
      </c>
    </row>
    <row r="273" spans="1:6">
      <c r="A273" s="111" t="s">
        <v>535</v>
      </c>
      <c r="B273" s="3" t="s">
        <v>159</v>
      </c>
      <c r="C273" s="3" t="s">
        <v>100</v>
      </c>
      <c r="D273">
        <v>152</v>
      </c>
      <c r="E273">
        <v>83</v>
      </c>
      <c r="F273">
        <v>128</v>
      </c>
    </row>
    <row r="274" spans="1:6">
      <c r="A274" s="111" t="s">
        <v>536</v>
      </c>
      <c r="B274" s="3" t="s">
        <v>159</v>
      </c>
      <c r="C274" s="3" t="s">
        <v>100</v>
      </c>
      <c r="D274">
        <v>224</v>
      </c>
      <c r="E274">
        <v>144</v>
      </c>
      <c r="F274">
        <v>181</v>
      </c>
    </row>
    <row r="275" spans="1:6">
      <c r="A275" s="111" t="s">
        <v>537</v>
      </c>
      <c r="B275" s="3" t="s">
        <v>172</v>
      </c>
      <c r="C275" s="3" t="s">
        <v>44</v>
      </c>
      <c r="D275">
        <v>194</v>
      </c>
      <c r="E275">
        <v>194</v>
      </c>
      <c r="F275">
        <v>181</v>
      </c>
    </row>
    <row r="276" spans="1:6">
      <c r="A276" s="111" t="s">
        <v>538</v>
      </c>
      <c r="B276" s="3" t="s">
        <v>73</v>
      </c>
      <c r="C276" s="3" t="s">
        <v>118</v>
      </c>
      <c r="D276">
        <v>107</v>
      </c>
      <c r="E276">
        <v>98</v>
      </c>
      <c r="F276">
        <v>207</v>
      </c>
    </row>
    <row r="277" spans="1:6">
      <c r="A277" s="111" t="s">
        <v>539</v>
      </c>
      <c r="B277" s="3" t="s">
        <v>73</v>
      </c>
      <c r="C277" s="3" t="s">
        <v>118</v>
      </c>
      <c r="D277">
        <v>214</v>
      </c>
      <c r="E277">
        <v>185</v>
      </c>
      <c r="F277">
        <v>207</v>
      </c>
    </row>
    <row r="278" spans="1:6">
      <c r="A278" s="111" t="s">
        <v>540</v>
      </c>
      <c r="B278" s="3" t="s">
        <v>169</v>
      </c>
      <c r="C278" s="3" t="s">
        <v>118</v>
      </c>
      <c r="D278">
        <v>198</v>
      </c>
      <c r="E278">
        <v>180</v>
      </c>
      <c r="F278">
        <v>198</v>
      </c>
    </row>
    <row r="279" spans="1:6">
      <c r="A279" s="111" t="s">
        <v>541</v>
      </c>
      <c r="B279" s="3" t="s">
        <v>169</v>
      </c>
      <c r="C279" s="3" t="s">
        <v>118</v>
      </c>
      <c r="D279">
        <v>192</v>
      </c>
      <c r="E279">
        <v>131</v>
      </c>
      <c r="F279">
        <v>177</v>
      </c>
    </row>
    <row r="280" spans="1:6">
      <c r="A280" s="111" t="s">
        <v>542</v>
      </c>
      <c r="B280" s="3" t="s">
        <v>169</v>
      </c>
      <c r="C280" s="3" t="s">
        <v>118</v>
      </c>
      <c r="D280">
        <v>40</v>
      </c>
      <c r="E280">
        <v>83</v>
      </c>
      <c r="F280">
        <v>146</v>
      </c>
    </row>
    <row r="281" spans="1:6">
      <c r="A281" s="111" t="s">
        <v>543</v>
      </c>
      <c r="B281" s="3" t="s">
        <v>94</v>
      </c>
      <c r="C281" s="3" t="s">
        <v>118</v>
      </c>
      <c r="D281">
        <v>64</v>
      </c>
      <c r="E281">
        <v>64</v>
      </c>
      <c r="F281">
        <v>111</v>
      </c>
    </row>
    <row r="282" spans="1:6">
      <c r="A282" s="111" t="s">
        <v>544</v>
      </c>
      <c r="B282" s="3" t="s">
        <v>94</v>
      </c>
      <c r="C282" s="3" t="s">
        <v>118</v>
      </c>
      <c r="D282">
        <v>173</v>
      </c>
      <c r="E282">
        <v>207</v>
      </c>
      <c r="F282">
        <v>137</v>
      </c>
    </row>
    <row r="283" spans="1:6">
      <c r="A283" s="111" t="s">
        <v>545</v>
      </c>
      <c r="B283" s="3" t="s">
        <v>98</v>
      </c>
      <c r="C283" s="3" t="s">
        <v>97</v>
      </c>
      <c r="D283">
        <v>153</v>
      </c>
      <c r="E283">
        <v>91</v>
      </c>
      <c r="F283">
        <v>128</v>
      </c>
    </row>
    <row r="284" spans="1:6">
      <c r="A284" s="111" t="s">
        <v>546</v>
      </c>
      <c r="B284" s="3" t="s">
        <v>177</v>
      </c>
      <c r="C284" s="3" t="s">
        <v>118</v>
      </c>
      <c r="D284">
        <v>135</v>
      </c>
      <c r="E284">
        <v>101</v>
      </c>
      <c r="F284">
        <v>128</v>
      </c>
    </row>
    <row r="285" spans="1:6">
      <c r="A285" s="111" t="s">
        <v>547</v>
      </c>
      <c r="B285" s="3" t="s">
        <v>100</v>
      </c>
      <c r="C285" s="3" t="s">
        <v>118</v>
      </c>
      <c r="D285">
        <v>151</v>
      </c>
      <c r="E285">
        <v>99</v>
      </c>
      <c r="F285">
        <v>128</v>
      </c>
    </row>
    <row r="286" spans="1:6">
      <c r="A286" s="111" t="s">
        <v>548</v>
      </c>
      <c r="B286" s="3" t="s">
        <v>169</v>
      </c>
      <c r="C286" s="3" t="s">
        <v>118</v>
      </c>
      <c r="D286">
        <v>157</v>
      </c>
      <c r="E286">
        <v>193</v>
      </c>
      <c r="F286">
        <v>216</v>
      </c>
    </row>
    <row r="287" spans="1:6">
      <c r="A287" s="111" t="s">
        <v>549</v>
      </c>
      <c r="B287" s="3" t="s">
        <v>169</v>
      </c>
      <c r="C287" s="3" t="s">
        <v>118</v>
      </c>
      <c r="D287">
        <v>129</v>
      </c>
      <c r="E287">
        <v>169</v>
      </c>
      <c r="F287">
        <v>496</v>
      </c>
    </row>
    <row r="288" spans="1:6">
      <c r="A288" s="111" t="s">
        <v>550</v>
      </c>
      <c r="B288" s="3" t="s">
        <v>177</v>
      </c>
      <c r="C288" s="3" t="s">
        <v>118</v>
      </c>
      <c r="D288">
        <v>241</v>
      </c>
      <c r="E288">
        <v>195</v>
      </c>
      <c r="F288">
        <v>207</v>
      </c>
    </row>
    <row r="289" spans="1:6">
      <c r="A289" s="111" t="s">
        <v>551</v>
      </c>
      <c r="B289" s="3" t="s">
        <v>100</v>
      </c>
      <c r="C289" s="3" t="s">
        <v>118</v>
      </c>
      <c r="D289">
        <v>235</v>
      </c>
      <c r="E289">
        <v>171</v>
      </c>
      <c r="F289">
        <v>251</v>
      </c>
    </row>
    <row r="290" spans="1:6">
      <c r="A290" s="111" t="s">
        <v>552</v>
      </c>
      <c r="B290" s="3" t="s">
        <v>172</v>
      </c>
      <c r="C290" s="3" t="s">
        <v>118</v>
      </c>
      <c r="D290">
        <v>180</v>
      </c>
      <c r="E290">
        <v>235</v>
      </c>
      <c r="F290">
        <v>225</v>
      </c>
    </row>
    <row r="291" spans="1:6">
      <c r="A291" s="111" t="s">
        <v>553</v>
      </c>
      <c r="B291" s="3" t="s">
        <v>38</v>
      </c>
      <c r="C291" s="3" t="s">
        <v>73</v>
      </c>
      <c r="D291">
        <v>115</v>
      </c>
      <c r="E291">
        <v>93</v>
      </c>
      <c r="F291">
        <v>137</v>
      </c>
    </row>
    <row r="292" spans="1:6">
      <c r="A292" s="111" t="s">
        <v>554</v>
      </c>
      <c r="B292" s="3" t="s">
        <v>38</v>
      </c>
      <c r="C292" s="3" t="s">
        <v>73</v>
      </c>
      <c r="D292">
        <v>155</v>
      </c>
      <c r="E292">
        <v>133</v>
      </c>
      <c r="F292">
        <v>172</v>
      </c>
    </row>
    <row r="293" spans="1:6">
      <c r="A293" s="111" t="s">
        <v>555</v>
      </c>
      <c r="B293" s="3" t="s">
        <v>38</v>
      </c>
      <c r="C293" s="3" t="s">
        <v>159</v>
      </c>
      <c r="D293">
        <v>251</v>
      </c>
      <c r="E293">
        <v>207</v>
      </c>
      <c r="F293">
        <v>225</v>
      </c>
    </row>
    <row r="294" spans="1:6">
      <c r="A294" s="111" t="s">
        <v>194</v>
      </c>
      <c r="B294" s="3" t="s">
        <v>97</v>
      </c>
      <c r="C294" s="3" t="s">
        <v>96</v>
      </c>
      <c r="D294">
        <v>193</v>
      </c>
      <c r="E294">
        <v>310</v>
      </c>
      <c r="F294">
        <v>235</v>
      </c>
    </row>
    <row r="295" spans="1:6">
      <c r="A295" s="111" t="s">
        <v>556</v>
      </c>
      <c r="B295" s="3" t="s">
        <v>100</v>
      </c>
      <c r="C295" s="3" t="s">
        <v>96</v>
      </c>
      <c r="D295">
        <v>239</v>
      </c>
      <c r="E295">
        <v>244</v>
      </c>
      <c r="F295">
        <v>214</v>
      </c>
    </row>
    <row r="296" spans="1:6">
      <c r="A296" s="111" t="s">
        <v>557</v>
      </c>
      <c r="B296" s="3" t="s">
        <v>97</v>
      </c>
      <c r="C296" s="3" t="s">
        <v>166</v>
      </c>
      <c r="D296">
        <v>210</v>
      </c>
      <c r="E296">
        <v>210</v>
      </c>
      <c r="F296">
        <v>225</v>
      </c>
    </row>
    <row r="297" spans="1:6">
      <c r="A297" s="111" t="s">
        <v>558</v>
      </c>
      <c r="B297" s="3" t="s">
        <v>166</v>
      </c>
      <c r="C297" s="3" t="s">
        <v>118</v>
      </c>
      <c r="D297">
        <v>124</v>
      </c>
      <c r="E297">
        <v>94</v>
      </c>
      <c r="F297">
        <v>120</v>
      </c>
    </row>
    <row r="298" spans="1:6">
      <c r="A298" s="111" t="s">
        <v>559</v>
      </c>
      <c r="B298" s="3" t="s">
        <v>166</v>
      </c>
      <c r="C298" s="3" t="s">
        <v>118</v>
      </c>
      <c r="D298">
        <v>172</v>
      </c>
      <c r="E298">
        <v>120</v>
      </c>
      <c r="F298">
        <v>137</v>
      </c>
    </row>
    <row r="299" spans="1:6">
      <c r="A299" s="111" t="s">
        <v>560</v>
      </c>
      <c r="B299" s="3" t="s">
        <v>166</v>
      </c>
      <c r="C299" s="3" t="s">
        <v>118</v>
      </c>
      <c r="D299">
        <v>223</v>
      </c>
      <c r="E299">
        <v>169</v>
      </c>
      <c r="F299">
        <v>172</v>
      </c>
    </row>
    <row r="300" spans="1:6">
      <c r="A300" s="111" t="s">
        <v>561</v>
      </c>
      <c r="B300" s="3" t="s">
        <v>100</v>
      </c>
      <c r="C300" s="3" t="s">
        <v>118</v>
      </c>
      <c r="D300">
        <v>130</v>
      </c>
      <c r="E300">
        <v>87</v>
      </c>
      <c r="F300">
        <v>128</v>
      </c>
    </row>
    <row r="301" spans="1:6">
      <c r="A301" s="111" t="s">
        <v>562</v>
      </c>
      <c r="B301" s="3" t="s">
        <v>100</v>
      </c>
      <c r="C301" s="3" t="s">
        <v>94</v>
      </c>
      <c r="D301">
        <v>163</v>
      </c>
      <c r="E301">
        <v>115</v>
      </c>
      <c r="F301">
        <v>155</v>
      </c>
    </row>
    <row r="302" spans="1:6">
      <c r="A302" s="111" t="s">
        <v>563</v>
      </c>
      <c r="B302" s="3" t="s">
        <v>100</v>
      </c>
      <c r="C302" s="3" t="s">
        <v>94</v>
      </c>
      <c r="D302">
        <v>240</v>
      </c>
      <c r="E302">
        <v>141</v>
      </c>
      <c r="F302">
        <v>190</v>
      </c>
    </row>
    <row r="303" spans="1:6">
      <c r="A303" s="111" t="s">
        <v>564</v>
      </c>
      <c r="B303" s="3" t="s">
        <v>172</v>
      </c>
      <c r="C303" s="3" t="s">
        <v>118</v>
      </c>
      <c r="D303">
        <v>126</v>
      </c>
      <c r="E303">
        <v>93</v>
      </c>
      <c r="F303">
        <v>137</v>
      </c>
    </row>
    <row r="304" spans="1:6">
      <c r="A304" s="111" t="s">
        <v>565</v>
      </c>
      <c r="B304" s="3" t="s">
        <v>172</v>
      </c>
      <c r="C304" s="3" t="s">
        <v>73</v>
      </c>
      <c r="D304">
        <v>156</v>
      </c>
      <c r="E304">
        <v>133</v>
      </c>
      <c r="F304">
        <v>172</v>
      </c>
    </row>
    <row r="305" spans="1:6">
      <c r="A305" s="111" t="s">
        <v>566</v>
      </c>
      <c r="B305" s="3" t="s">
        <v>172</v>
      </c>
      <c r="C305" s="3" t="s">
        <v>73</v>
      </c>
      <c r="D305">
        <v>208</v>
      </c>
      <c r="E305">
        <v>175</v>
      </c>
      <c r="F305">
        <v>225</v>
      </c>
    </row>
    <row r="306" spans="1:6">
      <c r="A306" s="111" t="s">
        <v>567</v>
      </c>
      <c r="B306" s="3" t="s">
        <v>159</v>
      </c>
      <c r="C306" s="3" t="s">
        <v>118</v>
      </c>
      <c r="D306">
        <v>96</v>
      </c>
      <c r="E306">
        <v>61</v>
      </c>
      <c r="F306">
        <v>111</v>
      </c>
    </row>
    <row r="307" spans="1:6">
      <c r="A307" s="111" t="s">
        <v>568</v>
      </c>
      <c r="B307" s="3" t="s">
        <v>159</v>
      </c>
      <c r="C307" s="3" t="s">
        <v>118</v>
      </c>
      <c r="D307">
        <v>171</v>
      </c>
      <c r="E307">
        <v>132</v>
      </c>
      <c r="F307">
        <v>172</v>
      </c>
    </row>
    <row r="308" spans="1:6">
      <c r="A308" s="111" t="s">
        <v>569</v>
      </c>
      <c r="B308" s="3" t="s">
        <v>169</v>
      </c>
      <c r="C308" s="3" t="s">
        <v>118</v>
      </c>
      <c r="D308">
        <v>58</v>
      </c>
      <c r="E308">
        <v>80</v>
      </c>
      <c r="F308">
        <v>116</v>
      </c>
    </row>
    <row r="309" spans="1:6">
      <c r="A309" s="111" t="s">
        <v>570</v>
      </c>
      <c r="B309" s="3" t="s">
        <v>159</v>
      </c>
      <c r="C309" s="3" t="s">
        <v>169</v>
      </c>
      <c r="D309">
        <v>58</v>
      </c>
      <c r="E309">
        <v>80</v>
      </c>
      <c r="F309">
        <v>116</v>
      </c>
    </row>
    <row r="310" spans="1:6">
      <c r="A310" s="111" t="s">
        <v>571</v>
      </c>
      <c r="B310" s="3" t="s">
        <v>169</v>
      </c>
      <c r="C310" s="3" t="s">
        <v>118</v>
      </c>
      <c r="D310">
        <v>142</v>
      </c>
      <c r="E310">
        <v>128</v>
      </c>
      <c r="F310">
        <v>186</v>
      </c>
    </row>
    <row r="311" spans="1:6">
      <c r="A311" s="111" t="s">
        <v>572</v>
      </c>
      <c r="B311" s="3" t="s">
        <v>159</v>
      </c>
      <c r="C311" s="3" t="s">
        <v>169</v>
      </c>
      <c r="D311">
        <v>142</v>
      </c>
      <c r="E311">
        <v>128</v>
      </c>
      <c r="F311">
        <v>186</v>
      </c>
    </row>
    <row r="312" spans="1:6">
      <c r="A312" s="111" t="s">
        <v>573</v>
      </c>
      <c r="B312" s="3" t="s">
        <v>284</v>
      </c>
      <c r="C312" s="3" t="s">
        <v>118</v>
      </c>
      <c r="D312">
        <v>75</v>
      </c>
      <c r="E312">
        <v>59</v>
      </c>
      <c r="F312">
        <v>128</v>
      </c>
    </row>
    <row r="313" spans="1:6">
      <c r="A313" s="111" t="s">
        <v>574</v>
      </c>
      <c r="B313" s="3" t="s">
        <v>284</v>
      </c>
      <c r="C313" s="3" t="s">
        <v>118</v>
      </c>
      <c r="D313">
        <v>60</v>
      </c>
      <c r="E313">
        <v>77</v>
      </c>
      <c r="F313">
        <v>137</v>
      </c>
    </row>
    <row r="314" spans="1:6">
      <c r="A314" s="111" t="s">
        <v>575</v>
      </c>
      <c r="B314" s="3" t="s">
        <v>284</v>
      </c>
      <c r="C314" s="3" t="s">
        <v>96</v>
      </c>
      <c r="D314">
        <v>189</v>
      </c>
      <c r="E314">
        <v>98</v>
      </c>
      <c r="F314">
        <v>155</v>
      </c>
    </row>
    <row r="315" spans="1:6">
      <c r="A315" s="111" t="s">
        <v>576</v>
      </c>
      <c r="B315" s="3" t="s">
        <v>284</v>
      </c>
      <c r="C315" s="3" t="s">
        <v>118</v>
      </c>
      <c r="D315">
        <v>60</v>
      </c>
      <c r="E315">
        <v>77</v>
      </c>
      <c r="F315">
        <v>137</v>
      </c>
    </row>
    <row r="316" spans="1:6">
      <c r="A316" s="111" t="s">
        <v>577</v>
      </c>
      <c r="B316" s="3" t="s">
        <v>284</v>
      </c>
      <c r="C316" s="3" t="s">
        <v>274</v>
      </c>
      <c r="D316">
        <v>98</v>
      </c>
      <c r="E316">
        <v>162</v>
      </c>
      <c r="F316">
        <v>155</v>
      </c>
    </row>
    <row r="317" spans="1:6">
      <c r="A317" s="111" t="s">
        <v>578</v>
      </c>
      <c r="B317" s="3" t="s">
        <v>172</v>
      </c>
      <c r="C317" s="3" t="s">
        <v>166</v>
      </c>
      <c r="D317">
        <v>71</v>
      </c>
      <c r="E317">
        <v>77</v>
      </c>
      <c r="F317">
        <v>120</v>
      </c>
    </row>
    <row r="318" spans="1:6">
      <c r="A318" s="111" t="s">
        <v>579</v>
      </c>
      <c r="B318" s="3" t="s">
        <v>172</v>
      </c>
      <c r="C318" s="3" t="s">
        <v>166</v>
      </c>
      <c r="D318">
        <v>112</v>
      </c>
      <c r="E318">
        <v>119</v>
      </c>
      <c r="F318">
        <v>155</v>
      </c>
    </row>
    <row r="319" spans="1:6">
      <c r="A319" s="111" t="s">
        <v>580</v>
      </c>
      <c r="B319" s="3" t="s">
        <v>172</v>
      </c>
      <c r="C319" s="3" t="s">
        <v>166</v>
      </c>
      <c r="D319">
        <v>173</v>
      </c>
      <c r="E319">
        <v>176</v>
      </c>
      <c r="F319">
        <v>190</v>
      </c>
    </row>
    <row r="320" spans="1:6">
      <c r="A320" s="111" t="s">
        <v>581</v>
      </c>
      <c r="B320" s="3" t="s">
        <v>166</v>
      </c>
      <c r="C320" s="3" t="s">
        <v>118</v>
      </c>
      <c r="D320">
        <v>71</v>
      </c>
      <c r="E320">
        <v>77</v>
      </c>
      <c r="F320">
        <v>120</v>
      </c>
    </row>
    <row r="321" spans="1:6">
      <c r="A321" s="111" t="s">
        <v>582</v>
      </c>
      <c r="B321" s="3" t="s">
        <v>166</v>
      </c>
      <c r="C321" s="3" t="s">
        <v>159</v>
      </c>
      <c r="D321">
        <v>134</v>
      </c>
      <c r="E321">
        <v>78</v>
      </c>
      <c r="F321">
        <v>172</v>
      </c>
    </row>
    <row r="322" spans="1:6">
      <c r="A322" s="111" t="s">
        <v>583</v>
      </c>
      <c r="B322" s="3" t="s">
        <v>166</v>
      </c>
      <c r="C322" s="3" t="s">
        <v>159</v>
      </c>
      <c r="D322">
        <v>200</v>
      </c>
      <c r="E322">
        <v>121</v>
      </c>
      <c r="F322">
        <v>207</v>
      </c>
    </row>
    <row r="323" spans="1:6">
      <c r="A323" s="111" t="s">
        <v>584</v>
      </c>
      <c r="B323" s="3" t="s">
        <v>169</v>
      </c>
      <c r="C323" s="3" t="s">
        <v>96</v>
      </c>
      <c r="D323">
        <v>106</v>
      </c>
      <c r="E323">
        <v>61</v>
      </c>
      <c r="F323">
        <v>120</v>
      </c>
    </row>
    <row r="324" spans="1:6">
      <c r="A324" s="111" t="s">
        <v>585</v>
      </c>
      <c r="B324" s="3" t="s">
        <v>169</v>
      </c>
      <c r="C324" s="3" t="s">
        <v>96</v>
      </c>
      <c r="D324">
        <v>185</v>
      </c>
      <c r="E324">
        <v>124</v>
      </c>
      <c r="F324">
        <v>155</v>
      </c>
    </row>
    <row r="325" spans="1:6">
      <c r="A325" s="111" t="s">
        <v>586</v>
      </c>
      <c r="B325" s="3" t="s">
        <v>172</v>
      </c>
      <c r="C325" s="3" t="s">
        <v>96</v>
      </c>
      <c r="D325">
        <v>106</v>
      </c>
      <c r="E325">
        <v>61</v>
      </c>
      <c r="F325">
        <v>120</v>
      </c>
    </row>
    <row r="326" spans="1:6">
      <c r="A326" s="111" t="s">
        <v>587</v>
      </c>
      <c r="B326" s="3" t="s">
        <v>172</v>
      </c>
      <c r="C326" s="3" t="s">
        <v>96</v>
      </c>
      <c r="D326">
        <v>175</v>
      </c>
      <c r="E326">
        <v>174</v>
      </c>
      <c r="F326">
        <v>155</v>
      </c>
    </row>
    <row r="327" spans="1:6">
      <c r="A327" s="111" t="s">
        <v>588</v>
      </c>
      <c r="B327" s="3" t="s">
        <v>97</v>
      </c>
      <c r="C327" s="3" t="s">
        <v>83</v>
      </c>
      <c r="D327">
        <v>79</v>
      </c>
      <c r="E327">
        <v>59</v>
      </c>
      <c r="F327">
        <v>99</v>
      </c>
    </row>
    <row r="328" spans="1:6">
      <c r="A328" s="111" t="s">
        <v>589</v>
      </c>
      <c r="B328" s="3" t="s">
        <v>97</v>
      </c>
      <c r="C328" s="3" t="s">
        <v>83</v>
      </c>
      <c r="D328">
        <v>117</v>
      </c>
      <c r="E328">
        <v>90</v>
      </c>
      <c r="F328">
        <v>116</v>
      </c>
    </row>
    <row r="329" spans="1:6">
      <c r="A329" s="111" t="s">
        <v>590</v>
      </c>
      <c r="B329" s="3" t="s">
        <v>97</v>
      </c>
      <c r="C329" s="3" t="s">
        <v>83</v>
      </c>
      <c r="D329">
        <v>237</v>
      </c>
      <c r="E329">
        <v>195</v>
      </c>
      <c r="F329">
        <v>169</v>
      </c>
    </row>
    <row r="330" spans="1:6">
      <c r="A330" s="111" t="s">
        <v>591</v>
      </c>
      <c r="B330" s="3" t="s">
        <v>284</v>
      </c>
      <c r="C330" s="3" t="s">
        <v>172</v>
      </c>
      <c r="D330">
        <v>93</v>
      </c>
      <c r="E330">
        <v>87</v>
      </c>
      <c r="F330">
        <v>120</v>
      </c>
    </row>
    <row r="331" spans="1:6">
      <c r="A331" s="111" t="s">
        <v>592</v>
      </c>
      <c r="B331" s="3" t="s">
        <v>284</v>
      </c>
      <c r="C331" s="3" t="s">
        <v>96</v>
      </c>
      <c r="D331">
        <v>192</v>
      </c>
      <c r="E331">
        <v>150</v>
      </c>
      <c r="F331">
        <v>172</v>
      </c>
    </row>
    <row r="332" spans="1:6">
      <c r="A332" s="111" t="s">
        <v>593</v>
      </c>
      <c r="B332" s="3" t="s">
        <v>166</v>
      </c>
      <c r="C332" s="3" t="s">
        <v>118</v>
      </c>
      <c r="D332">
        <v>74</v>
      </c>
      <c r="E332">
        <v>110</v>
      </c>
      <c r="F332">
        <v>155</v>
      </c>
    </row>
    <row r="333" spans="1:6">
      <c r="A333" s="111" t="s">
        <v>594</v>
      </c>
      <c r="B333" s="3" t="s">
        <v>166</v>
      </c>
      <c r="C333" s="3" t="s">
        <v>94</v>
      </c>
      <c r="D333">
        <v>241</v>
      </c>
      <c r="E333">
        <v>144</v>
      </c>
      <c r="F333">
        <v>155</v>
      </c>
    </row>
    <row r="334" spans="1:6">
      <c r="A334" s="111" t="s">
        <v>595</v>
      </c>
      <c r="B334" s="3" t="s">
        <v>169</v>
      </c>
      <c r="C334" s="3" t="s">
        <v>118</v>
      </c>
      <c r="D334">
        <v>104</v>
      </c>
      <c r="E334">
        <v>92</v>
      </c>
      <c r="F334">
        <v>155</v>
      </c>
    </row>
    <row r="335" spans="1:6">
      <c r="A335" s="111" t="s">
        <v>596</v>
      </c>
      <c r="B335" s="3" t="s">
        <v>169</v>
      </c>
      <c r="C335" s="3" t="s">
        <v>118</v>
      </c>
      <c r="D335">
        <v>159</v>
      </c>
      <c r="E335">
        <v>145</v>
      </c>
      <c r="F335">
        <v>190</v>
      </c>
    </row>
    <row r="336" spans="1:6">
      <c r="A336" s="111" t="s">
        <v>597</v>
      </c>
      <c r="B336" s="3" t="s">
        <v>169</v>
      </c>
      <c r="C336" s="3" t="s">
        <v>118</v>
      </c>
      <c r="D336">
        <v>290</v>
      </c>
      <c r="E336">
        <v>166</v>
      </c>
      <c r="F336">
        <v>284</v>
      </c>
    </row>
    <row r="337" spans="1:6">
      <c r="A337" s="111" t="s">
        <v>598</v>
      </c>
      <c r="B337" s="3" t="s">
        <v>284</v>
      </c>
      <c r="C337" s="3" t="s">
        <v>73</v>
      </c>
      <c r="D337">
        <v>80</v>
      </c>
      <c r="E337">
        <v>126</v>
      </c>
      <c r="F337">
        <v>104</v>
      </c>
    </row>
    <row r="338" spans="1:6">
      <c r="A338" s="111" t="s">
        <v>599</v>
      </c>
      <c r="B338" s="3" t="s">
        <v>284</v>
      </c>
      <c r="C338" s="3" t="s">
        <v>96</v>
      </c>
      <c r="D338">
        <v>199</v>
      </c>
      <c r="E338">
        <v>112</v>
      </c>
      <c r="F338">
        <v>156</v>
      </c>
    </row>
    <row r="339" spans="1:6">
      <c r="A339" s="111" t="s">
        <v>600</v>
      </c>
      <c r="B339" s="3" t="s">
        <v>284</v>
      </c>
      <c r="C339" s="3" t="s">
        <v>266</v>
      </c>
      <c r="D339">
        <v>153</v>
      </c>
      <c r="E339">
        <v>73</v>
      </c>
      <c r="F339">
        <v>1</v>
      </c>
    </row>
    <row r="340" spans="1:6">
      <c r="A340" s="111" t="s">
        <v>601</v>
      </c>
      <c r="B340" s="3" t="s">
        <v>169</v>
      </c>
      <c r="C340" s="3" t="s">
        <v>118</v>
      </c>
      <c r="D340">
        <v>92</v>
      </c>
      <c r="E340">
        <v>42</v>
      </c>
      <c r="F340">
        <v>162</v>
      </c>
    </row>
    <row r="341" spans="1:6">
      <c r="A341" s="111" t="s">
        <v>602</v>
      </c>
      <c r="B341" s="3" t="s">
        <v>169</v>
      </c>
      <c r="C341" s="3" t="s">
        <v>118</v>
      </c>
      <c r="D341">
        <v>134</v>
      </c>
      <c r="E341">
        <v>81</v>
      </c>
      <c r="F341">
        <v>197</v>
      </c>
    </row>
    <row r="342" spans="1:6">
      <c r="A342" s="111" t="s">
        <v>603</v>
      </c>
      <c r="B342" s="3" t="s">
        <v>169</v>
      </c>
      <c r="C342" s="3" t="s">
        <v>118</v>
      </c>
      <c r="D342">
        <v>179</v>
      </c>
      <c r="E342">
        <v>137</v>
      </c>
      <c r="F342">
        <v>232</v>
      </c>
    </row>
    <row r="343" spans="1:6">
      <c r="A343" s="111" t="s">
        <v>604</v>
      </c>
      <c r="B343" s="3" t="s">
        <v>94</v>
      </c>
      <c r="C343" s="3" t="s">
        <v>118</v>
      </c>
      <c r="D343">
        <v>99</v>
      </c>
      <c r="E343">
        <v>54</v>
      </c>
      <c r="F343">
        <v>176</v>
      </c>
    </row>
    <row r="344" spans="1:6">
      <c r="A344" s="111" t="s">
        <v>605</v>
      </c>
      <c r="B344" s="3" t="s">
        <v>94</v>
      </c>
      <c r="C344" s="3" t="s">
        <v>118</v>
      </c>
      <c r="D344">
        <v>209</v>
      </c>
      <c r="E344">
        <v>114</v>
      </c>
      <c r="F344">
        <v>302</v>
      </c>
    </row>
    <row r="345" spans="1:6">
      <c r="A345" s="111" t="s">
        <v>606</v>
      </c>
      <c r="B345" s="3" t="s">
        <v>169</v>
      </c>
      <c r="C345" s="3" t="s">
        <v>83</v>
      </c>
      <c r="D345">
        <v>36</v>
      </c>
      <c r="E345">
        <v>71</v>
      </c>
      <c r="F345">
        <v>137</v>
      </c>
    </row>
    <row r="346" spans="1:6">
      <c r="A346" s="111" t="s">
        <v>607</v>
      </c>
      <c r="B346" s="3" t="s">
        <v>38</v>
      </c>
      <c r="C346" s="3" t="s">
        <v>118</v>
      </c>
      <c r="D346">
        <v>82</v>
      </c>
      <c r="E346">
        <v>215</v>
      </c>
      <c r="F346">
        <v>102</v>
      </c>
    </row>
    <row r="347" spans="1:6">
      <c r="A347" s="111" t="s">
        <v>608</v>
      </c>
      <c r="B347" s="3" t="s">
        <v>169</v>
      </c>
      <c r="C347" s="3" t="s">
        <v>118</v>
      </c>
      <c r="D347">
        <v>84</v>
      </c>
      <c r="E347">
        <v>79</v>
      </c>
      <c r="F347">
        <v>137</v>
      </c>
    </row>
    <row r="348" spans="1:6">
      <c r="A348" s="111" t="s">
        <v>609</v>
      </c>
      <c r="B348" s="3" t="s">
        <v>169</v>
      </c>
      <c r="C348" s="3" t="s">
        <v>118</v>
      </c>
      <c r="D348">
        <v>132</v>
      </c>
      <c r="E348">
        <v>127</v>
      </c>
      <c r="F348">
        <v>172</v>
      </c>
    </row>
    <row r="349" spans="1:6">
      <c r="A349" s="111" t="s">
        <v>610</v>
      </c>
      <c r="B349" s="3" t="s">
        <v>159</v>
      </c>
      <c r="C349" s="3" t="s">
        <v>266</v>
      </c>
      <c r="D349">
        <v>141</v>
      </c>
      <c r="E349">
        <v>136</v>
      </c>
      <c r="F349">
        <v>137</v>
      </c>
    </row>
    <row r="350" spans="1:6">
      <c r="A350" s="111" t="s">
        <v>611</v>
      </c>
      <c r="B350" s="3" t="s">
        <v>306</v>
      </c>
      <c r="C350" s="3" t="s">
        <v>83</v>
      </c>
      <c r="D350">
        <v>155</v>
      </c>
      <c r="E350">
        <v>141</v>
      </c>
      <c r="F350">
        <v>137</v>
      </c>
    </row>
    <row r="351" spans="1:6">
      <c r="A351" s="111" t="s">
        <v>612</v>
      </c>
      <c r="B351" s="3" t="s">
        <v>306</v>
      </c>
      <c r="C351" s="3" t="s">
        <v>38</v>
      </c>
      <c r="D351">
        <v>121</v>
      </c>
      <c r="E351">
        <v>141</v>
      </c>
      <c r="F351">
        <v>137</v>
      </c>
    </row>
    <row r="352" spans="1:6">
      <c r="A352" s="111" t="s">
        <v>613</v>
      </c>
      <c r="B352" s="3" t="s">
        <v>306</v>
      </c>
      <c r="C352" s="3" t="s">
        <v>38</v>
      </c>
      <c r="D352">
        <v>158</v>
      </c>
      <c r="E352">
        <v>198</v>
      </c>
      <c r="F352">
        <v>155</v>
      </c>
    </row>
    <row r="353" spans="1:6">
      <c r="A353" s="111" t="s">
        <v>614</v>
      </c>
      <c r="B353" s="3" t="s">
        <v>306</v>
      </c>
      <c r="C353" s="3" t="s">
        <v>38</v>
      </c>
      <c r="D353">
        <v>198</v>
      </c>
      <c r="E353">
        <v>257</v>
      </c>
      <c r="F353">
        <v>172</v>
      </c>
    </row>
    <row r="354" spans="1:6">
      <c r="A354" s="111" t="s">
        <v>615</v>
      </c>
      <c r="B354" s="3" t="s">
        <v>94</v>
      </c>
      <c r="C354" s="3" t="s">
        <v>97</v>
      </c>
      <c r="D354">
        <v>78</v>
      </c>
      <c r="E354">
        <v>107</v>
      </c>
      <c r="F354">
        <v>102</v>
      </c>
    </row>
    <row r="355" spans="1:6">
      <c r="A355" s="111" t="s">
        <v>616</v>
      </c>
      <c r="B355" s="3" t="s">
        <v>94</v>
      </c>
      <c r="C355" s="3" t="s">
        <v>97</v>
      </c>
      <c r="D355">
        <v>121</v>
      </c>
      <c r="E355">
        <v>152</v>
      </c>
      <c r="F355">
        <v>155</v>
      </c>
    </row>
    <row r="356" spans="1:6">
      <c r="A356" s="111" t="s">
        <v>617</v>
      </c>
      <c r="B356" s="3" t="s">
        <v>177</v>
      </c>
      <c r="C356" s="3" t="s">
        <v>118</v>
      </c>
      <c r="D356">
        <v>123</v>
      </c>
      <c r="E356">
        <v>78</v>
      </c>
      <c r="F356">
        <v>120</v>
      </c>
    </row>
    <row r="357" spans="1:6">
      <c r="A357" s="111" t="s">
        <v>618</v>
      </c>
      <c r="B357" s="3" t="s">
        <v>177</v>
      </c>
      <c r="C357" s="3" t="s">
        <v>118</v>
      </c>
      <c r="D357">
        <v>215</v>
      </c>
      <c r="E357">
        <v>127</v>
      </c>
      <c r="F357">
        <v>172</v>
      </c>
    </row>
    <row r="358" spans="1:6">
      <c r="A358" s="111" t="s">
        <v>619</v>
      </c>
      <c r="B358" s="3" t="s">
        <v>177</v>
      </c>
      <c r="C358" s="3" t="s">
        <v>118</v>
      </c>
      <c r="D358">
        <v>167</v>
      </c>
      <c r="E358">
        <v>129</v>
      </c>
      <c r="F358">
        <v>155</v>
      </c>
    </row>
    <row r="359" spans="1:6">
      <c r="A359" s="111" t="s">
        <v>620</v>
      </c>
      <c r="B359" s="3" t="s">
        <v>177</v>
      </c>
      <c r="C359" s="3" t="s">
        <v>118</v>
      </c>
      <c r="D359">
        <v>147</v>
      </c>
      <c r="E359">
        <v>150</v>
      </c>
      <c r="F359">
        <v>155</v>
      </c>
    </row>
    <row r="360" spans="1:6">
      <c r="A360" s="111" t="s">
        <v>621</v>
      </c>
      <c r="B360" s="3" t="s">
        <v>284</v>
      </c>
      <c r="C360" s="3" t="s">
        <v>118</v>
      </c>
      <c r="D360">
        <v>143</v>
      </c>
      <c r="E360">
        <v>166</v>
      </c>
      <c r="F360">
        <v>163</v>
      </c>
    </row>
    <row r="361" spans="1:6">
      <c r="A361" s="111" t="s">
        <v>622</v>
      </c>
      <c r="B361" s="3" t="s">
        <v>284</v>
      </c>
      <c r="C361" s="3" t="s">
        <v>118</v>
      </c>
      <c r="D361">
        <v>143</v>
      </c>
      <c r="E361">
        <v>166</v>
      </c>
      <c r="F361">
        <v>163</v>
      </c>
    </row>
    <row r="362" spans="1:6">
      <c r="A362" s="111" t="s">
        <v>623</v>
      </c>
      <c r="B362" s="3" t="s">
        <v>166</v>
      </c>
      <c r="C362" s="3" t="s">
        <v>274</v>
      </c>
      <c r="D362">
        <v>186</v>
      </c>
      <c r="E362">
        <v>131</v>
      </c>
      <c r="F362">
        <v>137</v>
      </c>
    </row>
    <row r="363" spans="1:6">
      <c r="A363" s="111" t="s">
        <v>624</v>
      </c>
      <c r="B363" s="3" t="s">
        <v>274</v>
      </c>
      <c r="C363" s="3" t="s">
        <v>118</v>
      </c>
      <c r="D363">
        <v>80</v>
      </c>
      <c r="E363">
        <v>99</v>
      </c>
      <c r="F363">
        <v>172</v>
      </c>
    </row>
    <row r="364" spans="1:6">
      <c r="A364" s="111" t="s">
        <v>625</v>
      </c>
      <c r="B364" s="3" t="s">
        <v>274</v>
      </c>
      <c r="C364" s="3" t="s">
        <v>118</v>
      </c>
      <c r="D364">
        <v>140</v>
      </c>
      <c r="E364">
        <v>159</v>
      </c>
      <c r="F364">
        <v>225</v>
      </c>
    </row>
    <row r="365" spans="1:6">
      <c r="A365" s="111" t="s">
        <v>626</v>
      </c>
      <c r="B365" s="3" t="s">
        <v>172</v>
      </c>
      <c r="C365" s="3" t="s">
        <v>159</v>
      </c>
      <c r="D365">
        <v>171</v>
      </c>
      <c r="E365">
        <v>39</v>
      </c>
      <c r="F365">
        <v>128</v>
      </c>
    </row>
    <row r="366" spans="1:6">
      <c r="A366" s="111" t="s">
        <v>627</v>
      </c>
      <c r="B366" s="3" t="s">
        <v>172</v>
      </c>
      <c r="C366" s="3" t="s">
        <v>159</v>
      </c>
      <c r="D366">
        <v>243</v>
      </c>
      <c r="E366">
        <v>83</v>
      </c>
      <c r="F366">
        <v>172</v>
      </c>
    </row>
    <row r="367" spans="1:6">
      <c r="A367" s="111" t="s">
        <v>628</v>
      </c>
      <c r="B367" s="3" t="s">
        <v>172</v>
      </c>
      <c r="C367" s="3" t="s">
        <v>118</v>
      </c>
      <c r="D367">
        <v>136</v>
      </c>
      <c r="E367">
        <v>68</v>
      </c>
      <c r="F367">
        <v>277</v>
      </c>
    </row>
    <row r="368" spans="1:6">
      <c r="A368" s="111" t="s">
        <v>629</v>
      </c>
      <c r="B368" s="3" t="s">
        <v>172</v>
      </c>
      <c r="C368" s="3" t="s">
        <v>118</v>
      </c>
      <c r="D368">
        <v>175</v>
      </c>
      <c r="E368">
        <v>87</v>
      </c>
      <c r="F368">
        <v>347</v>
      </c>
    </row>
    <row r="369" spans="1:6">
      <c r="A369" s="111" t="s">
        <v>630</v>
      </c>
      <c r="B369" s="3" t="s">
        <v>100</v>
      </c>
      <c r="C369" s="3" t="s">
        <v>73</v>
      </c>
      <c r="D369">
        <v>119</v>
      </c>
      <c r="E369">
        <v>79</v>
      </c>
      <c r="F369">
        <v>155</v>
      </c>
    </row>
    <row r="370" spans="1:6">
      <c r="A370" s="111" t="s">
        <v>631</v>
      </c>
      <c r="B370" s="3" t="s">
        <v>100</v>
      </c>
      <c r="C370" s="3" t="s">
        <v>73</v>
      </c>
      <c r="D370">
        <v>194</v>
      </c>
      <c r="E370">
        <v>136</v>
      </c>
      <c r="F370">
        <v>172</v>
      </c>
    </row>
    <row r="371" spans="1:6">
      <c r="A371" s="111" t="s">
        <v>632</v>
      </c>
      <c r="B371" s="3" t="s">
        <v>100</v>
      </c>
      <c r="C371" s="3" t="s">
        <v>118</v>
      </c>
      <c r="D371">
        <v>151</v>
      </c>
      <c r="E371">
        <v>203</v>
      </c>
      <c r="F371">
        <v>172</v>
      </c>
    </row>
    <row r="372" spans="1:6">
      <c r="A372" s="111" t="s">
        <v>633</v>
      </c>
      <c r="B372" s="3" t="s">
        <v>97</v>
      </c>
      <c r="C372" s="3" t="s">
        <v>118</v>
      </c>
      <c r="D372">
        <v>125</v>
      </c>
      <c r="E372">
        <v>122</v>
      </c>
      <c r="F372">
        <v>155</v>
      </c>
    </row>
    <row r="373" spans="1:6">
      <c r="A373" s="111" t="s">
        <v>634</v>
      </c>
      <c r="B373" s="3" t="s">
        <v>97</v>
      </c>
      <c r="C373" s="3" t="s">
        <v>118</v>
      </c>
      <c r="D373">
        <v>171</v>
      </c>
      <c r="E373">
        <v>188</v>
      </c>
      <c r="F373">
        <v>190</v>
      </c>
    </row>
    <row r="374" spans="1:6">
      <c r="A374" s="111" t="s">
        <v>635</v>
      </c>
      <c r="B374" s="3" t="s">
        <v>169</v>
      </c>
      <c r="C374" s="3" t="s">
        <v>118</v>
      </c>
      <c r="D374">
        <v>116</v>
      </c>
      <c r="E374">
        <v>116</v>
      </c>
      <c r="F374">
        <v>155</v>
      </c>
    </row>
    <row r="375" spans="1:6">
      <c r="A375" s="111" t="s">
        <v>636</v>
      </c>
      <c r="B375" s="3" t="s">
        <v>73</v>
      </c>
      <c r="C375" s="3" t="s">
        <v>118</v>
      </c>
      <c r="D375">
        <v>162</v>
      </c>
      <c r="E375">
        <v>78</v>
      </c>
      <c r="F375">
        <v>128</v>
      </c>
    </row>
    <row r="376" spans="1:6">
      <c r="A376" s="111" t="s">
        <v>637</v>
      </c>
      <c r="B376" s="3" t="s">
        <v>73</v>
      </c>
      <c r="C376" s="3" t="s">
        <v>44</v>
      </c>
      <c r="D376">
        <v>134</v>
      </c>
      <c r="E376">
        <v>99</v>
      </c>
      <c r="F376">
        <v>137</v>
      </c>
    </row>
    <row r="377" spans="1:6">
      <c r="A377" s="111" t="s">
        <v>638</v>
      </c>
      <c r="B377" s="3" t="s">
        <v>73</v>
      </c>
      <c r="C377" s="3" t="s">
        <v>44</v>
      </c>
      <c r="D377">
        <v>205</v>
      </c>
      <c r="E377">
        <v>168</v>
      </c>
      <c r="F377">
        <v>190</v>
      </c>
    </row>
    <row r="378" spans="1:6">
      <c r="A378" s="111" t="s">
        <v>639</v>
      </c>
      <c r="B378" s="3" t="s">
        <v>166</v>
      </c>
      <c r="C378" s="3" t="s">
        <v>118</v>
      </c>
      <c r="D378">
        <v>156</v>
      </c>
      <c r="E378">
        <v>74</v>
      </c>
      <c r="F378">
        <v>137</v>
      </c>
    </row>
    <row r="379" spans="1:6">
      <c r="A379" s="111" t="s">
        <v>640</v>
      </c>
      <c r="B379" s="3" t="s">
        <v>166</v>
      </c>
      <c r="C379" s="3" t="s">
        <v>159</v>
      </c>
      <c r="D379">
        <v>221</v>
      </c>
      <c r="E379">
        <v>115</v>
      </c>
      <c r="F379">
        <v>172</v>
      </c>
    </row>
    <row r="380" spans="1:6">
      <c r="A380" s="111" t="s">
        <v>641</v>
      </c>
      <c r="B380" s="3" t="s">
        <v>169</v>
      </c>
      <c r="C380" s="3" t="s">
        <v>96</v>
      </c>
      <c r="D380">
        <v>76</v>
      </c>
      <c r="E380">
        <v>132</v>
      </c>
      <c r="F380">
        <v>128</v>
      </c>
    </row>
    <row r="381" spans="1:6">
      <c r="A381" s="111" t="s">
        <v>642</v>
      </c>
      <c r="B381" s="3" t="s">
        <v>44</v>
      </c>
      <c r="C381" s="3" t="s">
        <v>96</v>
      </c>
      <c r="D381">
        <v>141</v>
      </c>
      <c r="E381">
        <v>201</v>
      </c>
      <c r="F381">
        <v>181</v>
      </c>
    </row>
    <row r="382" spans="1:6">
      <c r="A382" s="111" t="s">
        <v>643</v>
      </c>
      <c r="B382" s="3" t="s">
        <v>169</v>
      </c>
      <c r="C382" s="3" t="s">
        <v>118</v>
      </c>
      <c r="D382">
        <v>222</v>
      </c>
      <c r="E382">
        <v>124</v>
      </c>
      <c r="F382">
        <v>177</v>
      </c>
    </row>
    <row r="383" spans="1:6">
      <c r="A383" s="111" t="s">
        <v>644</v>
      </c>
      <c r="B383" s="3" t="s">
        <v>274</v>
      </c>
      <c r="C383" s="3" t="s">
        <v>118</v>
      </c>
      <c r="D383">
        <v>196</v>
      </c>
      <c r="E383">
        <v>118</v>
      </c>
      <c r="F383">
        <v>177</v>
      </c>
    </row>
    <row r="384" spans="1:6">
      <c r="A384" s="111" t="s">
        <v>645</v>
      </c>
      <c r="B384" s="3" t="s">
        <v>38</v>
      </c>
      <c r="C384" s="3" t="s">
        <v>97</v>
      </c>
      <c r="D384">
        <v>178</v>
      </c>
      <c r="E384">
        <v>153</v>
      </c>
      <c r="F384">
        <v>207</v>
      </c>
    </row>
    <row r="385" spans="1:6">
      <c r="A385" s="111" t="s">
        <v>646</v>
      </c>
      <c r="B385" s="3" t="s">
        <v>38</v>
      </c>
      <c r="C385" s="3" t="s">
        <v>97</v>
      </c>
      <c r="D385">
        <v>178</v>
      </c>
      <c r="E385">
        <v>153</v>
      </c>
      <c r="F385">
        <v>207</v>
      </c>
    </row>
    <row r="386" spans="1:6">
      <c r="A386" s="111" t="s">
        <v>647</v>
      </c>
      <c r="B386" s="3" t="s">
        <v>172</v>
      </c>
      <c r="C386" s="3" t="s">
        <v>73</v>
      </c>
      <c r="D386">
        <v>93</v>
      </c>
      <c r="E386">
        <v>82</v>
      </c>
      <c r="F386">
        <v>137</v>
      </c>
    </row>
    <row r="387" spans="1:6">
      <c r="A387" s="111" t="s">
        <v>648</v>
      </c>
      <c r="B387" s="3" t="s">
        <v>172</v>
      </c>
      <c r="C387" s="3" t="s">
        <v>73</v>
      </c>
      <c r="D387">
        <v>151</v>
      </c>
      <c r="E387">
        <v>141</v>
      </c>
      <c r="F387">
        <v>242</v>
      </c>
    </row>
    <row r="388" spans="1:6">
      <c r="A388" s="111" t="s">
        <v>649</v>
      </c>
      <c r="B388" s="3" t="s">
        <v>172</v>
      </c>
      <c r="C388" s="3" t="s">
        <v>118</v>
      </c>
      <c r="D388">
        <v>141</v>
      </c>
      <c r="E388">
        <v>99</v>
      </c>
      <c r="F388">
        <v>125</v>
      </c>
    </row>
    <row r="389" spans="1:6">
      <c r="A389" s="111" t="s">
        <v>650</v>
      </c>
      <c r="B389" s="3" t="s">
        <v>172</v>
      </c>
      <c r="C389" s="3" t="s">
        <v>159</v>
      </c>
      <c r="D389">
        <v>224</v>
      </c>
      <c r="E389">
        <v>142</v>
      </c>
      <c r="F389">
        <v>160</v>
      </c>
    </row>
    <row r="390" spans="1:6">
      <c r="A390" s="111" t="s">
        <v>651</v>
      </c>
      <c r="B390" s="3" t="s">
        <v>73</v>
      </c>
      <c r="C390" s="3" t="s">
        <v>97</v>
      </c>
      <c r="D390">
        <v>77</v>
      </c>
      <c r="E390">
        <v>124</v>
      </c>
      <c r="F390">
        <v>120</v>
      </c>
    </row>
    <row r="391" spans="1:6">
      <c r="A391" s="111" t="s">
        <v>652</v>
      </c>
      <c r="B391" s="3" t="s">
        <v>73</v>
      </c>
      <c r="C391" s="3" t="s">
        <v>97</v>
      </c>
      <c r="D391">
        <v>140</v>
      </c>
      <c r="E391">
        <v>229</v>
      </c>
      <c r="F391">
        <v>155</v>
      </c>
    </row>
    <row r="392" spans="1:6">
      <c r="A392" s="111" t="s">
        <v>653</v>
      </c>
      <c r="B392" s="3" t="s">
        <v>38</v>
      </c>
      <c r="C392" s="3" t="s">
        <v>166</v>
      </c>
      <c r="D392">
        <v>105</v>
      </c>
      <c r="E392">
        <v>150</v>
      </c>
      <c r="F392">
        <v>165</v>
      </c>
    </row>
    <row r="393" spans="1:6">
      <c r="A393" s="111" t="s">
        <v>654</v>
      </c>
      <c r="B393" s="3" t="s">
        <v>38</v>
      </c>
      <c r="C393" s="3" t="s">
        <v>166</v>
      </c>
      <c r="D393">
        <v>152</v>
      </c>
      <c r="E393">
        <v>194</v>
      </c>
      <c r="F393">
        <v>200</v>
      </c>
    </row>
    <row r="394" spans="1:6">
      <c r="A394" s="111" t="s">
        <v>655</v>
      </c>
      <c r="B394" s="3" t="s">
        <v>38</v>
      </c>
      <c r="C394" s="3" t="s">
        <v>284</v>
      </c>
      <c r="D394">
        <v>176</v>
      </c>
      <c r="E394">
        <v>100</v>
      </c>
      <c r="F394">
        <v>128</v>
      </c>
    </row>
    <row r="395" spans="1:6">
      <c r="A395" s="111" t="s">
        <v>656</v>
      </c>
      <c r="B395" s="3" t="s">
        <v>38</v>
      </c>
      <c r="C395" s="3" t="s">
        <v>284</v>
      </c>
      <c r="D395">
        <v>222</v>
      </c>
      <c r="E395">
        <v>174</v>
      </c>
      <c r="F395">
        <v>181</v>
      </c>
    </row>
    <row r="396" spans="1:6">
      <c r="A396" s="111" t="s">
        <v>657</v>
      </c>
      <c r="B396" s="3" t="s">
        <v>172</v>
      </c>
      <c r="C396" s="3" t="s">
        <v>118</v>
      </c>
      <c r="D396">
        <v>29</v>
      </c>
      <c r="E396">
        <v>85</v>
      </c>
      <c r="F396">
        <v>85</v>
      </c>
    </row>
    <row r="397" spans="1:6">
      <c r="A397" s="111" t="s">
        <v>658</v>
      </c>
      <c r="B397" s="3" t="s">
        <v>172</v>
      </c>
      <c r="C397" s="3" t="s">
        <v>118</v>
      </c>
      <c r="D397">
        <v>192</v>
      </c>
      <c r="E397">
        <v>219</v>
      </c>
      <c r="F397">
        <v>216</v>
      </c>
    </row>
    <row r="398" spans="1:6">
      <c r="A398" s="111" t="s">
        <v>659</v>
      </c>
      <c r="B398" s="3" t="s">
        <v>169</v>
      </c>
      <c r="C398" s="3" t="s">
        <v>118</v>
      </c>
      <c r="D398">
        <v>139</v>
      </c>
      <c r="E398">
        <v>139</v>
      </c>
      <c r="F398">
        <v>172</v>
      </c>
    </row>
    <row r="399" spans="1:6">
      <c r="A399" s="111" t="s">
        <v>660</v>
      </c>
      <c r="B399" s="3" t="s">
        <v>172</v>
      </c>
      <c r="C399" s="3" t="s">
        <v>118</v>
      </c>
      <c r="D399">
        <v>139</v>
      </c>
      <c r="E399">
        <v>139</v>
      </c>
      <c r="F399">
        <v>172</v>
      </c>
    </row>
    <row r="400" spans="1:6">
      <c r="A400" s="111" t="s">
        <v>661</v>
      </c>
      <c r="B400" s="3" t="s">
        <v>98</v>
      </c>
      <c r="C400" s="3" t="s">
        <v>118</v>
      </c>
      <c r="D400">
        <v>139</v>
      </c>
      <c r="E400">
        <v>139</v>
      </c>
      <c r="F400">
        <v>172</v>
      </c>
    </row>
    <row r="401" spans="1:6">
      <c r="A401" s="111" t="s">
        <v>662</v>
      </c>
      <c r="B401" s="3" t="s">
        <v>100</v>
      </c>
      <c r="C401" s="3" t="s">
        <v>118</v>
      </c>
      <c r="D401">
        <v>139</v>
      </c>
      <c r="E401">
        <v>139</v>
      </c>
      <c r="F401">
        <v>172</v>
      </c>
    </row>
    <row r="402" spans="1:6">
      <c r="A402" s="111" t="s">
        <v>663</v>
      </c>
      <c r="B402" s="3" t="s">
        <v>169</v>
      </c>
      <c r="C402" s="3" t="s">
        <v>118</v>
      </c>
      <c r="D402">
        <v>161</v>
      </c>
      <c r="E402">
        <v>189</v>
      </c>
      <c r="F402">
        <v>155</v>
      </c>
    </row>
    <row r="403" spans="1:6">
      <c r="A403" s="111" t="s">
        <v>664</v>
      </c>
      <c r="B403" s="3" t="s">
        <v>266</v>
      </c>
      <c r="C403" s="3" t="s">
        <v>118</v>
      </c>
      <c r="D403">
        <v>138</v>
      </c>
      <c r="E403">
        <v>65</v>
      </c>
      <c r="F403">
        <v>127</v>
      </c>
    </row>
    <row r="404" spans="1:6">
      <c r="A404" s="111" t="s">
        <v>665</v>
      </c>
      <c r="B404" s="3" t="s">
        <v>266</v>
      </c>
      <c r="C404" s="3" t="s">
        <v>118</v>
      </c>
      <c r="D404">
        <v>218</v>
      </c>
      <c r="E404">
        <v>126</v>
      </c>
      <c r="F404">
        <v>162</v>
      </c>
    </row>
    <row r="405" spans="1:6">
      <c r="A405" s="111" t="s">
        <v>666</v>
      </c>
      <c r="B405" s="3" t="s">
        <v>266</v>
      </c>
      <c r="C405" s="3" t="s">
        <v>118</v>
      </c>
      <c r="D405">
        <v>70</v>
      </c>
      <c r="E405">
        <v>162</v>
      </c>
      <c r="F405">
        <v>85</v>
      </c>
    </row>
    <row r="406" spans="1:6">
      <c r="A406" s="111" t="s">
        <v>667</v>
      </c>
      <c r="B406" s="3" t="s">
        <v>266</v>
      </c>
      <c r="C406" s="3" t="s">
        <v>118</v>
      </c>
      <c r="D406">
        <v>124</v>
      </c>
      <c r="E406">
        <v>234</v>
      </c>
      <c r="F406">
        <v>120</v>
      </c>
    </row>
    <row r="407" spans="1:6">
      <c r="A407" s="111" t="s">
        <v>668</v>
      </c>
      <c r="B407" s="3" t="s">
        <v>166</v>
      </c>
      <c r="C407" s="3" t="s">
        <v>96</v>
      </c>
      <c r="D407">
        <v>136</v>
      </c>
      <c r="E407">
        <v>163</v>
      </c>
      <c r="F407">
        <v>223</v>
      </c>
    </row>
    <row r="408" spans="1:6">
      <c r="A408" s="111" t="s">
        <v>669</v>
      </c>
      <c r="B408" s="3" t="s">
        <v>97</v>
      </c>
      <c r="C408" s="3" t="s">
        <v>118</v>
      </c>
      <c r="D408">
        <v>175</v>
      </c>
      <c r="E408">
        <v>170</v>
      </c>
      <c r="F408">
        <v>181</v>
      </c>
    </row>
    <row r="409" spans="1:6">
      <c r="A409" s="111" t="s">
        <v>670</v>
      </c>
      <c r="B409" s="3" t="s">
        <v>159</v>
      </c>
      <c r="C409" s="3" t="s">
        <v>118</v>
      </c>
      <c r="D409">
        <v>246</v>
      </c>
      <c r="E409">
        <v>120</v>
      </c>
      <c r="F409">
        <v>163</v>
      </c>
    </row>
    <row r="410" spans="1:6">
      <c r="A410" s="111" t="s">
        <v>671</v>
      </c>
      <c r="B410" s="3" t="s">
        <v>97</v>
      </c>
      <c r="C410" s="3" t="s">
        <v>118</v>
      </c>
      <c r="D410">
        <v>41</v>
      </c>
      <c r="E410">
        <v>86</v>
      </c>
      <c r="F410">
        <v>216</v>
      </c>
    </row>
    <row r="411" spans="1:6">
      <c r="A411" s="111" t="s">
        <v>672</v>
      </c>
      <c r="B411" s="3" t="s">
        <v>98</v>
      </c>
      <c r="C411" s="3" t="s">
        <v>118</v>
      </c>
      <c r="D411">
        <v>95</v>
      </c>
      <c r="E411">
        <v>95</v>
      </c>
      <c r="F411">
        <v>137</v>
      </c>
    </row>
    <row r="412" spans="1:6">
      <c r="A412" s="111" t="s">
        <v>673</v>
      </c>
      <c r="B412" s="3" t="s">
        <v>98</v>
      </c>
      <c r="C412" s="3" t="s">
        <v>118</v>
      </c>
      <c r="D412">
        <v>162</v>
      </c>
      <c r="E412">
        <v>162</v>
      </c>
      <c r="F412">
        <v>190</v>
      </c>
    </row>
    <row r="413" spans="1:6">
      <c r="A413" s="111" t="s">
        <v>674</v>
      </c>
      <c r="B413" s="3" t="s">
        <v>98</v>
      </c>
      <c r="C413" s="3" t="s">
        <v>172</v>
      </c>
      <c r="D413">
        <v>95</v>
      </c>
      <c r="E413">
        <v>90</v>
      </c>
      <c r="F413">
        <v>172</v>
      </c>
    </row>
    <row r="414" spans="1:6">
      <c r="A414" s="111" t="s">
        <v>675</v>
      </c>
      <c r="B414" s="3" t="s">
        <v>98</v>
      </c>
      <c r="C414" s="3" t="s">
        <v>172</v>
      </c>
      <c r="D414">
        <v>137</v>
      </c>
      <c r="E414">
        <v>132</v>
      </c>
      <c r="F414">
        <v>207</v>
      </c>
    </row>
    <row r="415" spans="1:6">
      <c r="A415" s="111" t="s">
        <v>260</v>
      </c>
      <c r="B415" s="3" t="s">
        <v>98</v>
      </c>
      <c r="C415" s="3" t="s">
        <v>172</v>
      </c>
      <c r="D415">
        <v>182</v>
      </c>
      <c r="E415">
        <v>176</v>
      </c>
      <c r="F415">
        <v>242</v>
      </c>
    </row>
    <row r="416" spans="1:6">
      <c r="A416" s="111" t="s">
        <v>676</v>
      </c>
      <c r="B416" s="3" t="s">
        <v>172</v>
      </c>
      <c r="C416" s="3" t="s">
        <v>118</v>
      </c>
      <c r="D416">
        <v>133</v>
      </c>
      <c r="E416">
        <v>135</v>
      </c>
      <c r="F416">
        <v>111</v>
      </c>
    </row>
    <row r="417" spans="1:6">
      <c r="A417" s="111" t="s">
        <v>677</v>
      </c>
      <c r="B417" s="3" t="s">
        <v>172</v>
      </c>
      <c r="C417" s="3" t="s">
        <v>118</v>
      </c>
      <c r="D417">
        <v>197</v>
      </c>
      <c r="E417">
        <v>179</v>
      </c>
      <c r="F417">
        <v>146</v>
      </c>
    </row>
    <row r="418" spans="1:6">
      <c r="A418" s="111" t="s">
        <v>678</v>
      </c>
      <c r="B418" s="3" t="s">
        <v>172</v>
      </c>
      <c r="C418" s="3" t="s">
        <v>118</v>
      </c>
      <c r="D418">
        <v>211</v>
      </c>
      <c r="E418">
        <v>179</v>
      </c>
      <c r="F418">
        <v>146</v>
      </c>
    </row>
    <row r="419" spans="1:6">
      <c r="A419" s="111" t="s">
        <v>679</v>
      </c>
      <c r="B419" s="3" t="s">
        <v>172</v>
      </c>
      <c r="C419" s="3" t="s">
        <v>38</v>
      </c>
      <c r="D419">
        <v>162</v>
      </c>
      <c r="E419">
        <v>203</v>
      </c>
      <c r="F419">
        <v>225</v>
      </c>
    </row>
    <row r="420" spans="1:6">
      <c r="A420" s="111" t="s">
        <v>680</v>
      </c>
      <c r="B420" s="3" t="s">
        <v>172</v>
      </c>
      <c r="C420" s="3" t="s">
        <v>118</v>
      </c>
      <c r="D420">
        <v>81</v>
      </c>
      <c r="E420">
        <v>128</v>
      </c>
      <c r="F420">
        <v>125</v>
      </c>
    </row>
    <row r="421" spans="1:6">
      <c r="A421" s="111" t="s">
        <v>681</v>
      </c>
      <c r="B421" s="3" t="s">
        <v>44</v>
      </c>
      <c r="C421" s="3" t="s">
        <v>118</v>
      </c>
      <c r="D421">
        <v>134</v>
      </c>
      <c r="E421">
        <v>93</v>
      </c>
      <c r="F421">
        <v>128</v>
      </c>
    </row>
    <row r="422" spans="1:6">
      <c r="A422" s="111" t="s">
        <v>682</v>
      </c>
      <c r="B422" s="3" t="s">
        <v>44</v>
      </c>
      <c r="C422" s="3" t="s">
        <v>118</v>
      </c>
      <c r="D422">
        <v>172</v>
      </c>
      <c r="E422">
        <v>155</v>
      </c>
      <c r="F422">
        <v>163</v>
      </c>
    </row>
    <row r="423" spans="1:6">
      <c r="A423" s="111" t="s">
        <v>1445</v>
      </c>
      <c r="B423" s="3" t="s">
        <v>44</v>
      </c>
      <c r="C423" s="3" t="s">
        <v>96</v>
      </c>
      <c r="D423">
        <v>277</v>
      </c>
      <c r="E423">
        <v>168</v>
      </c>
      <c r="F423">
        <v>216</v>
      </c>
    </row>
    <row r="424" spans="1:6">
      <c r="A424" s="111" t="s">
        <v>683</v>
      </c>
      <c r="B424" s="3" t="s">
        <v>306</v>
      </c>
      <c r="C424" s="3" t="s">
        <v>97</v>
      </c>
      <c r="D424">
        <v>96</v>
      </c>
      <c r="E424">
        <v>132</v>
      </c>
      <c r="F424">
        <v>120</v>
      </c>
    </row>
    <row r="425" spans="1:6">
      <c r="A425" s="111" t="s">
        <v>684</v>
      </c>
      <c r="B425" s="3" t="s">
        <v>306</v>
      </c>
      <c r="C425" s="3" t="s">
        <v>97</v>
      </c>
      <c r="D425">
        <v>138</v>
      </c>
      <c r="E425">
        <v>176</v>
      </c>
      <c r="F425">
        <v>155</v>
      </c>
    </row>
    <row r="426" spans="1:6">
      <c r="A426" s="111" t="s">
        <v>685</v>
      </c>
      <c r="B426" s="3" t="s">
        <v>306</v>
      </c>
      <c r="C426" s="3" t="s">
        <v>97</v>
      </c>
      <c r="D426">
        <v>257</v>
      </c>
      <c r="E426">
        <v>228</v>
      </c>
      <c r="F426">
        <v>190</v>
      </c>
    </row>
    <row r="427" spans="1:6">
      <c r="A427" s="111" t="s">
        <v>686</v>
      </c>
      <c r="B427" s="3" t="s">
        <v>38</v>
      </c>
      <c r="C427" s="3" t="s">
        <v>118</v>
      </c>
      <c r="D427">
        <v>179</v>
      </c>
      <c r="E427">
        <v>309</v>
      </c>
      <c r="F427">
        <v>190</v>
      </c>
    </row>
    <row r="428" spans="1:6">
      <c r="A428" s="111" t="s">
        <v>687</v>
      </c>
      <c r="B428" s="3" t="s">
        <v>98</v>
      </c>
      <c r="C428" s="3" t="s">
        <v>118</v>
      </c>
      <c r="D428">
        <v>179</v>
      </c>
      <c r="E428">
        <v>309</v>
      </c>
      <c r="F428">
        <v>190</v>
      </c>
    </row>
    <row r="429" spans="1:6">
      <c r="A429" s="111" t="s">
        <v>688</v>
      </c>
      <c r="B429" s="3" t="s">
        <v>306</v>
      </c>
      <c r="C429" s="3" t="s">
        <v>118</v>
      </c>
      <c r="D429">
        <v>143</v>
      </c>
      <c r="E429">
        <v>285</v>
      </c>
      <c r="F429">
        <v>190</v>
      </c>
    </row>
    <row r="430" spans="1:6">
      <c r="A430" s="111" t="s">
        <v>689</v>
      </c>
      <c r="B430" s="3" t="s">
        <v>44</v>
      </c>
      <c r="C430" s="3" t="s">
        <v>97</v>
      </c>
      <c r="D430">
        <v>228</v>
      </c>
      <c r="E430">
        <v>246</v>
      </c>
      <c r="F430">
        <v>190</v>
      </c>
    </row>
    <row r="431" spans="1:6">
      <c r="A431" s="111" t="s">
        <v>81</v>
      </c>
      <c r="B431" s="3" t="s">
        <v>44</v>
      </c>
      <c r="C431" s="3" t="s">
        <v>97</v>
      </c>
      <c r="D431">
        <v>268</v>
      </c>
      <c r="E431">
        <v>212</v>
      </c>
      <c r="F431">
        <v>190</v>
      </c>
    </row>
    <row r="432" spans="1:6">
      <c r="A432" s="111" t="s">
        <v>690</v>
      </c>
      <c r="B432" s="3" t="s">
        <v>172</v>
      </c>
      <c r="C432" s="3" t="s">
        <v>118</v>
      </c>
      <c r="D432">
        <v>270</v>
      </c>
      <c r="E432">
        <v>228</v>
      </c>
      <c r="F432">
        <v>205</v>
      </c>
    </row>
    <row r="433" spans="1:6">
      <c r="A433" s="111" t="s">
        <v>691</v>
      </c>
      <c r="B433" s="3" t="s">
        <v>73</v>
      </c>
      <c r="C433" s="3" t="s">
        <v>118</v>
      </c>
      <c r="D433">
        <v>270</v>
      </c>
      <c r="E433">
        <v>228</v>
      </c>
      <c r="F433">
        <v>205</v>
      </c>
    </row>
    <row r="434" spans="1:6">
      <c r="A434" s="111" t="s">
        <v>692</v>
      </c>
      <c r="B434" s="3" t="s">
        <v>44</v>
      </c>
      <c r="C434" s="3" t="s">
        <v>96</v>
      </c>
      <c r="D434">
        <v>284</v>
      </c>
      <c r="E434">
        <v>170</v>
      </c>
      <c r="F434">
        <v>213</v>
      </c>
    </row>
    <row r="435" spans="1:6">
      <c r="A435" s="111" t="s">
        <v>693</v>
      </c>
      <c r="B435" s="3" t="s">
        <v>306</v>
      </c>
      <c r="C435" s="3" t="s">
        <v>97</v>
      </c>
      <c r="D435">
        <v>210</v>
      </c>
      <c r="E435">
        <v>210</v>
      </c>
      <c r="F435">
        <v>225</v>
      </c>
    </row>
    <row r="436" spans="1:6">
      <c r="A436" s="111" t="s">
        <v>694</v>
      </c>
      <c r="B436" s="3" t="s">
        <v>97</v>
      </c>
      <c r="C436" s="3" t="s">
        <v>118</v>
      </c>
      <c r="D436">
        <v>345</v>
      </c>
      <c r="E436">
        <v>115</v>
      </c>
      <c r="F436">
        <v>137</v>
      </c>
    </row>
    <row r="437" spans="1:6">
      <c r="A437" s="111" t="s">
        <v>695</v>
      </c>
      <c r="B437" s="3" t="s">
        <v>97</v>
      </c>
      <c r="C437" s="3" t="s">
        <v>118</v>
      </c>
      <c r="D437">
        <v>414</v>
      </c>
      <c r="E437">
        <v>46</v>
      </c>
      <c r="F437">
        <v>137</v>
      </c>
    </row>
    <row r="438" spans="1:6">
      <c r="A438" s="111" t="s">
        <v>696</v>
      </c>
      <c r="B438" s="3" t="s">
        <v>97</v>
      </c>
      <c r="C438" s="3" t="s">
        <v>118</v>
      </c>
      <c r="D438">
        <v>144</v>
      </c>
      <c r="E438">
        <v>330</v>
      </c>
      <c r="F438">
        <v>137</v>
      </c>
    </row>
    <row r="439" spans="1:6">
      <c r="A439" s="111" t="s">
        <v>697</v>
      </c>
      <c r="B439" s="3" t="s">
        <v>97</v>
      </c>
      <c r="C439" s="3" t="s">
        <v>118</v>
      </c>
      <c r="D439">
        <v>230</v>
      </c>
      <c r="E439">
        <v>218</v>
      </c>
      <c r="F439">
        <v>137</v>
      </c>
    </row>
    <row r="440" spans="1:6">
      <c r="A440" s="111" t="s">
        <v>698</v>
      </c>
      <c r="B440" s="3" t="s">
        <v>166</v>
      </c>
      <c r="C440" s="3" t="s">
        <v>118</v>
      </c>
      <c r="D440">
        <v>119</v>
      </c>
      <c r="E440">
        <v>110</v>
      </c>
      <c r="F440">
        <v>146</v>
      </c>
    </row>
    <row r="441" spans="1:6">
      <c r="A441" s="111" t="s">
        <v>699</v>
      </c>
      <c r="B441" s="3" t="s">
        <v>166</v>
      </c>
      <c r="C441" s="3" t="s">
        <v>118</v>
      </c>
      <c r="D441">
        <v>157</v>
      </c>
      <c r="E441">
        <v>143</v>
      </c>
      <c r="F441">
        <v>181</v>
      </c>
    </row>
    <row r="442" spans="1:6">
      <c r="A442" s="111" t="s">
        <v>700</v>
      </c>
      <c r="B442" s="3" t="s">
        <v>166</v>
      </c>
      <c r="C442" s="3" t="s">
        <v>73</v>
      </c>
      <c r="D442">
        <v>202</v>
      </c>
      <c r="E442">
        <v>188</v>
      </c>
      <c r="F442">
        <v>216</v>
      </c>
    </row>
    <row r="443" spans="1:6">
      <c r="A443" s="111" t="s">
        <v>701</v>
      </c>
      <c r="B443" s="3" t="s">
        <v>100</v>
      </c>
      <c r="C443" s="3" t="s">
        <v>118</v>
      </c>
      <c r="D443">
        <v>113</v>
      </c>
      <c r="E443">
        <v>86</v>
      </c>
      <c r="F443">
        <v>127</v>
      </c>
    </row>
    <row r="444" spans="1:6">
      <c r="A444" s="111" t="s">
        <v>702</v>
      </c>
      <c r="B444" s="3" t="s">
        <v>100</v>
      </c>
      <c r="C444" s="3" t="s">
        <v>94</v>
      </c>
      <c r="D444">
        <v>158</v>
      </c>
      <c r="E444">
        <v>105</v>
      </c>
      <c r="F444">
        <v>162</v>
      </c>
    </row>
    <row r="445" spans="1:6">
      <c r="A445" s="111" t="s">
        <v>703</v>
      </c>
      <c r="B445" s="3" t="s">
        <v>100</v>
      </c>
      <c r="C445" s="3" t="s">
        <v>94</v>
      </c>
      <c r="D445">
        <v>222</v>
      </c>
      <c r="E445">
        <v>151</v>
      </c>
      <c r="F445">
        <v>183</v>
      </c>
    </row>
    <row r="446" spans="1:6">
      <c r="A446" s="111" t="s">
        <v>704</v>
      </c>
      <c r="B446" s="3" t="s">
        <v>172</v>
      </c>
      <c r="C446" s="3" t="s">
        <v>118</v>
      </c>
      <c r="D446">
        <v>112</v>
      </c>
      <c r="E446">
        <v>102</v>
      </c>
      <c r="F446">
        <v>142</v>
      </c>
    </row>
    <row r="447" spans="1:6">
      <c r="A447" s="111" t="s">
        <v>705</v>
      </c>
      <c r="B447" s="3" t="s">
        <v>172</v>
      </c>
      <c r="C447" s="3" t="s">
        <v>118</v>
      </c>
      <c r="D447">
        <v>150</v>
      </c>
      <c r="E447">
        <v>139</v>
      </c>
      <c r="F447">
        <v>162</v>
      </c>
    </row>
    <row r="448" spans="1:6">
      <c r="A448" s="111" t="s">
        <v>706</v>
      </c>
      <c r="B448" s="3" t="s">
        <v>172</v>
      </c>
      <c r="C448" s="3" t="s">
        <v>306</v>
      </c>
      <c r="D448">
        <v>210</v>
      </c>
      <c r="E448">
        <v>186</v>
      </c>
      <c r="F448">
        <v>197</v>
      </c>
    </row>
    <row r="449" spans="1:6">
      <c r="A449" s="111" t="s">
        <v>707</v>
      </c>
      <c r="B449" s="3" t="s">
        <v>169</v>
      </c>
      <c r="C449" s="3" t="s">
        <v>96</v>
      </c>
      <c r="D449">
        <v>101</v>
      </c>
      <c r="E449">
        <v>58</v>
      </c>
      <c r="F449">
        <v>120</v>
      </c>
    </row>
    <row r="450" spans="1:6">
      <c r="A450" s="111" t="s">
        <v>708</v>
      </c>
      <c r="B450" s="3" t="s">
        <v>169</v>
      </c>
      <c r="C450" s="3" t="s">
        <v>96</v>
      </c>
      <c r="D450">
        <v>142</v>
      </c>
      <c r="E450">
        <v>94</v>
      </c>
      <c r="F450">
        <v>146</v>
      </c>
    </row>
    <row r="451" spans="1:6">
      <c r="A451" s="111" t="s">
        <v>709</v>
      </c>
      <c r="B451" s="3" t="s">
        <v>169</v>
      </c>
      <c r="C451" s="3" t="s">
        <v>96</v>
      </c>
      <c r="D451">
        <v>234</v>
      </c>
      <c r="E451">
        <v>140</v>
      </c>
      <c r="F451">
        <v>198</v>
      </c>
    </row>
    <row r="452" spans="1:6">
      <c r="A452" s="111" t="s">
        <v>710</v>
      </c>
      <c r="B452" s="3" t="s">
        <v>169</v>
      </c>
      <c r="C452" s="3" t="s">
        <v>118</v>
      </c>
      <c r="D452">
        <v>80</v>
      </c>
      <c r="E452">
        <v>73</v>
      </c>
      <c r="F452">
        <v>153</v>
      </c>
    </row>
    <row r="453" spans="1:6">
      <c r="A453" s="111" t="s">
        <v>711</v>
      </c>
      <c r="B453" s="3" t="s">
        <v>169</v>
      </c>
      <c r="C453" s="3" t="s">
        <v>172</v>
      </c>
      <c r="D453">
        <v>162</v>
      </c>
      <c r="E453">
        <v>119</v>
      </c>
      <c r="F453">
        <v>188</v>
      </c>
    </row>
    <row r="454" spans="1:6">
      <c r="A454" s="111" t="s">
        <v>712</v>
      </c>
      <c r="B454" s="3" t="s">
        <v>284</v>
      </c>
      <c r="C454" s="3" t="s">
        <v>118</v>
      </c>
      <c r="D454">
        <v>45</v>
      </c>
      <c r="E454">
        <v>74</v>
      </c>
      <c r="F454">
        <v>114</v>
      </c>
    </row>
    <row r="455" spans="1:6">
      <c r="A455" s="111" t="s">
        <v>713</v>
      </c>
      <c r="B455" s="3" t="s">
        <v>284</v>
      </c>
      <c r="C455" s="3" t="s">
        <v>118</v>
      </c>
      <c r="D455">
        <v>160</v>
      </c>
      <c r="E455">
        <v>100</v>
      </c>
      <c r="F455">
        <v>184</v>
      </c>
    </row>
    <row r="456" spans="1:6">
      <c r="A456" s="111" t="s">
        <v>714</v>
      </c>
      <c r="B456" s="3" t="s">
        <v>177</v>
      </c>
      <c r="C456" s="3" t="s">
        <v>118</v>
      </c>
      <c r="D456">
        <v>117</v>
      </c>
      <c r="E456">
        <v>64</v>
      </c>
      <c r="F456">
        <v>128</v>
      </c>
    </row>
    <row r="457" spans="1:6">
      <c r="A457" s="111" t="s">
        <v>715</v>
      </c>
      <c r="B457" s="3" t="s">
        <v>177</v>
      </c>
      <c r="C457" s="3" t="s">
        <v>118</v>
      </c>
      <c r="D457">
        <v>159</v>
      </c>
      <c r="E457">
        <v>95</v>
      </c>
      <c r="F457">
        <v>155</v>
      </c>
    </row>
    <row r="458" spans="1:6">
      <c r="A458" s="111" t="s">
        <v>716</v>
      </c>
      <c r="B458" s="3" t="s">
        <v>177</v>
      </c>
      <c r="C458" s="3" t="s">
        <v>118</v>
      </c>
      <c r="D458">
        <v>232</v>
      </c>
      <c r="E458">
        <v>156</v>
      </c>
      <c r="F458">
        <v>190</v>
      </c>
    </row>
    <row r="459" spans="1:6">
      <c r="A459" s="111" t="s">
        <v>717</v>
      </c>
      <c r="B459" s="3" t="s">
        <v>166</v>
      </c>
      <c r="C459" s="3" t="s">
        <v>274</v>
      </c>
      <c r="D459">
        <v>91</v>
      </c>
      <c r="E459">
        <v>109</v>
      </c>
      <c r="F459">
        <v>120</v>
      </c>
    </row>
    <row r="460" spans="1:6">
      <c r="A460" s="111" t="s">
        <v>718</v>
      </c>
      <c r="B460" s="3" t="s">
        <v>166</v>
      </c>
      <c r="C460" s="3" t="s">
        <v>274</v>
      </c>
      <c r="D460">
        <v>243</v>
      </c>
      <c r="E460">
        <v>185</v>
      </c>
      <c r="F460">
        <v>155</v>
      </c>
    </row>
    <row r="461" spans="1:6">
      <c r="A461" s="111" t="s">
        <v>719</v>
      </c>
      <c r="B461" s="3" t="s">
        <v>38</v>
      </c>
      <c r="C461" s="3" t="s">
        <v>118</v>
      </c>
      <c r="D461">
        <v>218</v>
      </c>
      <c r="E461">
        <v>71</v>
      </c>
      <c r="F461">
        <v>167</v>
      </c>
    </row>
    <row r="462" spans="1:6">
      <c r="A462" s="111" t="s">
        <v>720</v>
      </c>
      <c r="B462" s="3" t="s">
        <v>38</v>
      </c>
      <c r="C462" s="3" t="s">
        <v>118</v>
      </c>
      <c r="D462">
        <v>295</v>
      </c>
      <c r="E462">
        <v>109</v>
      </c>
      <c r="F462">
        <v>219</v>
      </c>
    </row>
    <row r="463" spans="1:6">
      <c r="A463" s="111" t="s">
        <v>721</v>
      </c>
      <c r="B463" s="3" t="s">
        <v>38</v>
      </c>
      <c r="C463" s="3" t="s">
        <v>306</v>
      </c>
      <c r="D463">
        <v>76</v>
      </c>
      <c r="E463">
        <v>195</v>
      </c>
      <c r="F463">
        <v>102</v>
      </c>
    </row>
    <row r="464" spans="1:6">
      <c r="A464" s="111" t="s">
        <v>722</v>
      </c>
      <c r="B464" s="3" t="s">
        <v>38</v>
      </c>
      <c r="C464" s="3" t="s">
        <v>306</v>
      </c>
      <c r="D464">
        <v>94</v>
      </c>
      <c r="E464">
        <v>286</v>
      </c>
      <c r="F464">
        <v>155</v>
      </c>
    </row>
    <row r="465" spans="1:6">
      <c r="A465" s="111" t="s">
        <v>723</v>
      </c>
      <c r="B465" s="3" t="s">
        <v>284</v>
      </c>
      <c r="C465" s="3" t="s">
        <v>118</v>
      </c>
      <c r="D465">
        <v>53</v>
      </c>
      <c r="E465">
        <v>83</v>
      </c>
      <c r="F465">
        <v>120</v>
      </c>
    </row>
    <row r="466" spans="1:6">
      <c r="A466" s="111" t="s">
        <v>724</v>
      </c>
      <c r="B466" s="3" t="s">
        <v>284</v>
      </c>
      <c r="C466" s="3" t="s">
        <v>118</v>
      </c>
      <c r="D466">
        <v>53</v>
      </c>
      <c r="E466">
        <v>83</v>
      </c>
      <c r="F466">
        <v>120</v>
      </c>
    </row>
    <row r="467" spans="1:6">
      <c r="A467" s="111" t="s">
        <v>725</v>
      </c>
      <c r="B467" s="3" t="s">
        <v>284</v>
      </c>
      <c r="C467" s="3" t="s">
        <v>118</v>
      </c>
      <c r="D467">
        <v>53</v>
      </c>
      <c r="E467">
        <v>83</v>
      </c>
      <c r="F467">
        <v>120</v>
      </c>
    </row>
    <row r="468" spans="1:6">
      <c r="A468" s="111" t="s">
        <v>726</v>
      </c>
      <c r="B468" s="3" t="s">
        <v>284</v>
      </c>
      <c r="C468" s="3" t="s">
        <v>166</v>
      </c>
      <c r="D468">
        <v>141</v>
      </c>
      <c r="E468">
        <v>180</v>
      </c>
      <c r="F468">
        <v>155</v>
      </c>
    </row>
    <row r="469" spans="1:6">
      <c r="A469" s="111" t="s">
        <v>727</v>
      </c>
      <c r="B469" s="3" t="s">
        <v>284</v>
      </c>
      <c r="C469" s="3" t="s">
        <v>73</v>
      </c>
      <c r="D469">
        <v>141</v>
      </c>
      <c r="E469">
        <v>180</v>
      </c>
      <c r="F469">
        <v>155</v>
      </c>
    </row>
    <row r="470" spans="1:6">
      <c r="A470" s="111" t="s">
        <v>728</v>
      </c>
      <c r="B470" s="3" t="s">
        <v>284</v>
      </c>
      <c r="C470" s="3" t="s">
        <v>306</v>
      </c>
      <c r="D470">
        <v>127</v>
      </c>
      <c r="E470">
        <v>175</v>
      </c>
      <c r="F470">
        <v>155</v>
      </c>
    </row>
    <row r="471" spans="1:6">
      <c r="A471" s="111" t="s">
        <v>729</v>
      </c>
      <c r="B471" s="3" t="s">
        <v>284</v>
      </c>
      <c r="C471" s="3" t="s">
        <v>96</v>
      </c>
      <c r="D471">
        <v>185</v>
      </c>
      <c r="E471">
        <v>98</v>
      </c>
      <c r="F471">
        <v>172</v>
      </c>
    </row>
    <row r="472" spans="1:6">
      <c r="A472" s="111" t="s">
        <v>730</v>
      </c>
      <c r="B472" s="3" t="s">
        <v>284</v>
      </c>
      <c r="C472" s="3" t="s">
        <v>96</v>
      </c>
      <c r="D472">
        <v>59</v>
      </c>
      <c r="E472">
        <v>83</v>
      </c>
      <c r="F472">
        <v>102</v>
      </c>
    </row>
    <row r="473" spans="1:6">
      <c r="A473" s="111" t="s">
        <v>731</v>
      </c>
      <c r="B473" s="3" t="s">
        <v>284</v>
      </c>
      <c r="C473" s="3" t="s">
        <v>96</v>
      </c>
      <c r="D473">
        <v>149</v>
      </c>
      <c r="E473">
        <v>190</v>
      </c>
      <c r="F473">
        <v>172</v>
      </c>
    </row>
    <row r="474" spans="1:6">
      <c r="A474" s="111" t="s">
        <v>732</v>
      </c>
      <c r="B474" s="3" t="s">
        <v>177</v>
      </c>
      <c r="C474" s="3" t="s">
        <v>118</v>
      </c>
      <c r="D474">
        <v>94</v>
      </c>
      <c r="E474">
        <v>172</v>
      </c>
      <c r="F474">
        <v>155</v>
      </c>
    </row>
    <row r="475" spans="1:6">
      <c r="A475" s="111" t="s">
        <v>733</v>
      </c>
      <c r="B475" s="3" t="s">
        <v>172</v>
      </c>
      <c r="C475" s="3" t="s">
        <v>118</v>
      </c>
      <c r="D475">
        <v>132</v>
      </c>
      <c r="E475">
        <v>67</v>
      </c>
      <c r="F475">
        <v>146</v>
      </c>
    </row>
    <row r="476" spans="1:6">
      <c r="A476" s="111" t="s">
        <v>734</v>
      </c>
      <c r="B476" s="3" t="s">
        <v>172</v>
      </c>
      <c r="C476" s="3" t="s">
        <v>118</v>
      </c>
      <c r="D476">
        <v>221</v>
      </c>
      <c r="E476">
        <v>114</v>
      </c>
      <c r="F476">
        <v>198</v>
      </c>
    </row>
    <row r="477" spans="1:6">
      <c r="A477" s="111" t="s">
        <v>735</v>
      </c>
      <c r="B477" s="3" t="s">
        <v>166</v>
      </c>
      <c r="C477" s="3" t="s">
        <v>118</v>
      </c>
      <c r="D477">
        <v>108</v>
      </c>
      <c r="E477">
        <v>92</v>
      </c>
      <c r="F477">
        <v>128</v>
      </c>
    </row>
    <row r="478" spans="1:6">
      <c r="A478" s="111" t="s">
        <v>736</v>
      </c>
      <c r="B478" s="3" t="s">
        <v>166</v>
      </c>
      <c r="C478" s="3" t="s">
        <v>118</v>
      </c>
      <c r="D478">
        <v>170</v>
      </c>
      <c r="E478">
        <v>153</v>
      </c>
      <c r="F478">
        <v>172</v>
      </c>
    </row>
    <row r="479" spans="1:6">
      <c r="A479" s="111" t="s">
        <v>737</v>
      </c>
      <c r="B479" s="3" t="s">
        <v>166</v>
      </c>
      <c r="C479" s="3" t="s">
        <v>118</v>
      </c>
      <c r="D479">
        <v>170</v>
      </c>
      <c r="E479">
        <v>153</v>
      </c>
      <c r="F479">
        <v>172</v>
      </c>
    </row>
    <row r="480" spans="1:6">
      <c r="A480" s="111" t="s">
        <v>738</v>
      </c>
      <c r="B480" s="3" t="s">
        <v>172</v>
      </c>
      <c r="C480" s="3" t="s">
        <v>118</v>
      </c>
      <c r="D480">
        <v>103</v>
      </c>
      <c r="E480">
        <v>105</v>
      </c>
      <c r="F480">
        <v>183</v>
      </c>
    </row>
    <row r="481" spans="1:6">
      <c r="A481" s="111" t="s">
        <v>739</v>
      </c>
      <c r="B481" s="3" t="s">
        <v>172</v>
      </c>
      <c r="C481" s="3" t="s">
        <v>73</v>
      </c>
      <c r="D481">
        <v>169</v>
      </c>
      <c r="E481">
        <v>143</v>
      </c>
      <c r="F481">
        <v>244</v>
      </c>
    </row>
    <row r="482" spans="1:6">
      <c r="A482" s="111" t="s">
        <v>740</v>
      </c>
      <c r="B482" s="3" t="s">
        <v>169</v>
      </c>
      <c r="C482" s="3" t="s">
        <v>118</v>
      </c>
      <c r="D482">
        <v>205</v>
      </c>
      <c r="E482">
        <v>143</v>
      </c>
      <c r="F482">
        <v>181</v>
      </c>
    </row>
    <row r="483" spans="1:6">
      <c r="A483" s="111" t="s">
        <v>741</v>
      </c>
      <c r="B483" s="3" t="s">
        <v>266</v>
      </c>
      <c r="C483" s="3" t="s">
        <v>96</v>
      </c>
      <c r="D483">
        <v>117</v>
      </c>
      <c r="E483">
        <v>80</v>
      </c>
      <c r="F483">
        <v>207</v>
      </c>
    </row>
    <row r="484" spans="1:6">
      <c r="A484" s="111" t="s">
        <v>742</v>
      </c>
      <c r="B484" s="3" t="s">
        <v>266</v>
      </c>
      <c r="C484" s="3" t="s">
        <v>96</v>
      </c>
      <c r="D484">
        <v>180</v>
      </c>
      <c r="E484">
        <v>102</v>
      </c>
      <c r="F484">
        <v>312</v>
      </c>
    </row>
    <row r="485" spans="1:6">
      <c r="A485" s="111" t="s">
        <v>743</v>
      </c>
      <c r="B485" s="3" t="s">
        <v>169</v>
      </c>
      <c r="C485" s="3" t="s">
        <v>118</v>
      </c>
      <c r="D485">
        <v>130</v>
      </c>
      <c r="E485">
        <v>105</v>
      </c>
      <c r="F485">
        <v>146</v>
      </c>
    </row>
    <row r="486" spans="1:6">
      <c r="A486" s="111" t="s">
        <v>744</v>
      </c>
      <c r="B486" s="3" t="s">
        <v>169</v>
      </c>
      <c r="C486" s="3" t="s">
        <v>118</v>
      </c>
      <c r="D486">
        <v>156</v>
      </c>
      <c r="E486">
        <v>194</v>
      </c>
      <c r="F486">
        <v>163</v>
      </c>
    </row>
    <row r="487" spans="1:6">
      <c r="A487" s="111" t="s">
        <v>745</v>
      </c>
      <c r="B487" s="3" t="s">
        <v>266</v>
      </c>
      <c r="C487" s="3" t="s">
        <v>118</v>
      </c>
      <c r="D487">
        <v>211</v>
      </c>
      <c r="E487">
        <v>187</v>
      </c>
      <c r="F487">
        <v>155</v>
      </c>
    </row>
    <row r="488" spans="1:6">
      <c r="A488" s="111" t="s">
        <v>746</v>
      </c>
      <c r="B488" s="3" t="s">
        <v>159</v>
      </c>
      <c r="C488" s="3" t="s">
        <v>96</v>
      </c>
      <c r="D488">
        <v>243</v>
      </c>
      <c r="E488">
        <v>103</v>
      </c>
      <c r="F488">
        <v>225</v>
      </c>
    </row>
    <row r="489" spans="1:6">
      <c r="A489" s="111" t="s">
        <v>747</v>
      </c>
      <c r="B489" s="3" t="s">
        <v>169</v>
      </c>
      <c r="C489" s="3" t="s">
        <v>118</v>
      </c>
      <c r="D489">
        <v>109</v>
      </c>
      <c r="E489">
        <v>82</v>
      </c>
      <c r="F489">
        <v>135</v>
      </c>
    </row>
    <row r="490" spans="1:6">
      <c r="A490" s="111" t="s">
        <v>748</v>
      </c>
      <c r="B490" s="3" t="s">
        <v>169</v>
      </c>
      <c r="C490" s="3" t="s">
        <v>118</v>
      </c>
      <c r="D490">
        <v>172</v>
      </c>
      <c r="E490">
        <v>133</v>
      </c>
      <c r="F490">
        <v>174</v>
      </c>
    </row>
    <row r="491" spans="1:6">
      <c r="A491" s="111" t="s">
        <v>749</v>
      </c>
      <c r="B491" s="3" t="s">
        <v>97</v>
      </c>
      <c r="C491" s="3" t="s">
        <v>118</v>
      </c>
      <c r="D491">
        <v>114</v>
      </c>
      <c r="E491">
        <v>94</v>
      </c>
      <c r="F491">
        <v>128</v>
      </c>
    </row>
    <row r="492" spans="1:6">
      <c r="A492" s="111" t="s">
        <v>750</v>
      </c>
      <c r="B492" s="3" t="s">
        <v>274</v>
      </c>
      <c r="C492" s="3" t="s">
        <v>159</v>
      </c>
      <c r="D492">
        <v>121</v>
      </c>
      <c r="E492">
        <v>90</v>
      </c>
      <c r="F492">
        <v>160</v>
      </c>
    </row>
    <row r="493" spans="1:6">
      <c r="A493" s="111" t="s">
        <v>751</v>
      </c>
      <c r="B493" s="3" t="s">
        <v>274</v>
      </c>
      <c r="C493" s="3" t="s">
        <v>159</v>
      </c>
      <c r="D493">
        <v>184</v>
      </c>
      <c r="E493">
        <v>132</v>
      </c>
      <c r="F493">
        <v>230</v>
      </c>
    </row>
    <row r="494" spans="1:6">
      <c r="A494" s="111" t="s">
        <v>752</v>
      </c>
      <c r="B494" s="3" t="s">
        <v>306</v>
      </c>
      <c r="C494" s="3" t="s">
        <v>97</v>
      </c>
      <c r="D494">
        <v>43</v>
      </c>
      <c r="E494">
        <v>154</v>
      </c>
      <c r="F494">
        <v>149</v>
      </c>
    </row>
    <row r="495" spans="1:6">
      <c r="A495" s="111" t="s">
        <v>753</v>
      </c>
      <c r="B495" s="3" t="s">
        <v>306</v>
      </c>
      <c r="C495" s="3" t="s">
        <v>97</v>
      </c>
      <c r="D495">
        <v>161</v>
      </c>
      <c r="E495">
        <v>213</v>
      </c>
      <c r="F495">
        <v>167</v>
      </c>
    </row>
    <row r="496" spans="1:6">
      <c r="A496" s="111" t="s">
        <v>754</v>
      </c>
      <c r="B496" s="3" t="s">
        <v>38</v>
      </c>
      <c r="C496" s="3" t="s">
        <v>118</v>
      </c>
      <c r="D496">
        <v>124</v>
      </c>
      <c r="E496">
        <v>133</v>
      </c>
      <c r="F496">
        <v>137</v>
      </c>
    </row>
    <row r="497" spans="1:6">
      <c r="A497" s="111" t="s">
        <v>755</v>
      </c>
      <c r="B497" s="3" t="s">
        <v>97</v>
      </c>
      <c r="C497" s="3" t="s">
        <v>83</v>
      </c>
      <c r="D497">
        <v>125</v>
      </c>
      <c r="E497">
        <v>142</v>
      </c>
      <c r="F497">
        <v>85</v>
      </c>
    </row>
    <row r="498" spans="1:6">
      <c r="A498" s="111" t="s">
        <v>756</v>
      </c>
      <c r="B498" s="3" t="s">
        <v>169</v>
      </c>
      <c r="C498" s="3" t="s">
        <v>118</v>
      </c>
      <c r="D498">
        <v>25</v>
      </c>
      <c r="E498">
        <v>77</v>
      </c>
      <c r="F498">
        <v>225</v>
      </c>
    </row>
    <row r="499" spans="1:6">
      <c r="A499" s="111" t="s">
        <v>757</v>
      </c>
      <c r="B499" s="3" t="s">
        <v>169</v>
      </c>
      <c r="C499" s="3" t="s">
        <v>96</v>
      </c>
      <c r="D499">
        <v>183</v>
      </c>
      <c r="E499">
        <v>91</v>
      </c>
      <c r="F499">
        <v>183</v>
      </c>
    </row>
    <row r="500" spans="1:6">
      <c r="A500" s="111" t="s">
        <v>758</v>
      </c>
      <c r="B500" s="3" t="s">
        <v>266</v>
      </c>
      <c r="C500" s="3" t="s">
        <v>159</v>
      </c>
      <c r="D500">
        <v>169</v>
      </c>
      <c r="E500">
        <v>199</v>
      </c>
      <c r="F500">
        <v>137</v>
      </c>
    </row>
    <row r="501" spans="1:6">
      <c r="A501" s="111" t="s">
        <v>759</v>
      </c>
      <c r="B501" s="3" t="s">
        <v>44</v>
      </c>
      <c r="C501" s="3" t="s">
        <v>73</v>
      </c>
      <c r="D501">
        <v>124</v>
      </c>
      <c r="E501">
        <v>84</v>
      </c>
      <c r="F501">
        <v>151</v>
      </c>
    </row>
    <row r="502" spans="1:6">
      <c r="A502" s="111" t="s">
        <v>760</v>
      </c>
      <c r="B502" s="3" t="s">
        <v>44</v>
      </c>
      <c r="C502" s="3" t="s">
        <v>73</v>
      </c>
      <c r="D502">
        <v>172</v>
      </c>
      <c r="E502">
        <v>125</v>
      </c>
      <c r="F502">
        <v>169</v>
      </c>
    </row>
    <row r="503" spans="1:6">
      <c r="A503" s="111" t="s">
        <v>761</v>
      </c>
      <c r="B503" s="3" t="s">
        <v>44</v>
      </c>
      <c r="C503" s="3" t="s">
        <v>73</v>
      </c>
      <c r="D503">
        <v>261</v>
      </c>
      <c r="E503">
        <v>193</v>
      </c>
      <c r="F503">
        <v>239</v>
      </c>
    </row>
    <row r="504" spans="1:6">
      <c r="A504" s="111" t="s">
        <v>762</v>
      </c>
      <c r="B504" s="3" t="s">
        <v>169</v>
      </c>
      <c r="C504" s="3" t="s">
        <v>118</v>
      </c>
      <c r="D504">
        <v>137</v>
      </c>
      <c r="E504">
        <v>117</v>
      </c>
      <c r="F504">
        <v>286</v>
      </c>
    </row>
    <row r="505" spans="1:6">
      <c r="A505" s="111" t="s">
        <v>763</v>
      </c>
      <c r="B505" s="3" t="s">
        <v>94</v>
      </c>
      <c r="C505" s="3" t="s">
        <v>118</v>
      </c>
      <c r="D505">
        <v>127</v>
      </c>
      <c r="E505">
        <v>78</v>
      </c>
      <c r="F505">
        <v>120</v>
      </c>
    </row>
    <row r="506" spans="1:6">
      <c r="A506" s="111" t="s">
        <v>764</v>
      </c>
      <c r="B506" s="3" t="s">
        <v>94</v>
      </c>
      <c r="C506" s="3" t="s">
        <v>306</v>
      </c>
      <c r="D506">
        <v>236</v>
      </c>
      <c r="E506">
        <v>144</v>
      </c>
      <c r="F506">
        <v>172</v>
      </c>
    </row>
    <row r="507" spans="1:6">
      <c r="A507" s="111" t="s">
        <v>765</v>
      </c>
      <c r="B507" s="3" t="s">
        <v>73</v>
      </c>
      <c r="C507" s="3" t="s">
        <v>118</v>
      </c>
      <c r="D507">
        <v>124</v>
      </c>
      <c r="E507">
        <v>118</v>
      </c>
      <c r="F507">
        <v>169</v>
      </c>
    </row>
    <row r="508" spans="1:6">
      <c r="A508" s="111" t="s">
        <v>766</v>
      </c>
      <c r="B508" s="3" t="s">
        <v>73</v>
      </c>
      <c r="C508" s="3" t="s">
        <v>118</v>
      </c>
      <c r="D508">
        <v>201</v>
      </c>
      <c r="E508">
        <v>191</v>
      </c>
      <c r="F508">
        <v>239</v>
      </c>
    </row>
    <row r="509" spans="1:6">
      <c r="A509" s="111" t="s">
        <v>767</v>
      </c>
      <c r="B509" s="3" t="s">
        <v>274</v>
      </c>
      <c r="C509" s="3" t="s">
        <v>284</v>
      </c>
      <c r="D509">
        <v>93</v>
      </c>
      <c r="E509">
        <v>151</v>
      </c>
      <c r="F509">
        <v>120</v>
      </c>
    </row>
    <row r="510" spans="1:6">
      <c r="A510" s="111" t="s">
        <v>768</v>
      </c>
      <c r="B510" s="3" t="s">
        <v>274</v>
      </c>
      <c r="C510" s="3" t="s">
        <v>159</v>
      </c>
      <c r="D510">
        <v>180</v>
      </c>
      <c r="E510">
        <v>202</v>
      </c>
      <c r="F510">
        <v>172</v>
      </c>
    </row>
    <row r="511" spans="1:6">
      <c r="A511" s="111" t="s">
        <v>769</v>
      </c>
      <c r="B511" s="3" t="s">
        <v>274</v>
      </c>
      <c r="C511" s="3" t="s">
        <v>94</v>
      </c>
      <c r="D511">
        <v>116</v>
      </c>
      <c r="E511">
        <v>76</v>
      </c>
      <c r="F511">
        <v>134</v>
      </c>
    </row>
    <row r="512" spans="1:6">
      <c r="A512" s="111" t="s">
        <v>770</v>
      </c>
      <c r="B512" s="3" t="s">
        <v>274</v>
      </c>
      <c r="C512" s="3" t="s">
        <v>94</v>
      </c>
      <c r="D512">
        <v>211</v>
      </c>
      <c r="E512">
        <v>133</v>
      </c>
      <c r="F512">
        <v>195</v>
      </c>
    </row>
    <row r="513" spans="1:6">
      <c r="A513" s="111" t="s">
        <v>771</v>
      </c>
      <c r="B513" s="3" t="s">
        <v>166</v>
      </c>
      <c r="C513" s="3" t="s">
        <v>118</v>
      </c>
      <c r="D513">
        <v>187</v>
      </c>
      <c r="E513">
        <v>136</v>
      </c>
      <c r="F513">
        <v>179</v>
      </c>
    </row>
    <row r="514" spans="1:6">
      <c r="A514" s="111" t="s">
        <v>772</v>
      </c>
      <c r="B514" s="3" t="s">
        <v>172</v>
      </c>
      <c r="C514" s="3" t="s">
        <v>118</v>
      </c>
      <c r="D514">
        <v>96</v>
      </c>
      <c r="E514">
        <v>116</v>
      </c>
      <c r="F514">
        <v>135</v>
      </c>
    </row>
    <row r="515" spans="1:6">
      <c r="A515" s="111" t="s">
        <v>773</v>
      </c>
      <c r="B515" s="3" t="s">
        <v>172</v>
      </c>
      <c r="C515" s="3" t="s">
        <v>118</v>
      </c>
      <c r="D515">
        <v>142</v>
      </c>
      <c r="E515">
        <v>170</v>
      </c>
      <c r="F515">
        <v>170</v>
      </c>
    </row>
    <row r="516" spans="1:6">
      <c r="A516" s="111" t="s">
        <v>1446</v>
      </c>
      <c r="B516" s="3" t="s">
        <v>172</v>
      </c>
      <c r="C516" s="3" t="s">
        <v>96</v>
      </c>
      <c r="D516">
        <v>105</v>
      </c>
      <c r="E516">
        <v>179</v>
      </c>
      <c r="F516">
        <v>128</v>
      </c>
    </row>
    <row r="517" spans="1:6">
      <c r="A517" s="111" t="s">
        <v>774</v>
      </c>
      <c r="B517" s="3" t="s">
        <v>166</v>
      </c>
      <c r="C517" s="3" t="s">
        <v>98</v>
      </c>
      <c r="D517">
        <v>115</v>
      </c>
      <c r="E517">
        <v>105</v>
      </c>
      <c r="F517">
        <v>155</v>
      </c>
    </row>
    <row r="518" spans="1:6">
      <c r="A518" s="111" t="s">
        <v>775</v>
      </c>
      <c r="B518" s="3" t="s">
        <v>166</v>
      </c>
      <c r="C518" s="3" t="s">
        <v>98</v>
      </c>
      <c r="D518">
        <v>178</v>
      </c>
      <c r="E518">
        <v>158</v>
      </c>
      <c r="F518">
        <v>207</v>
      </c>
    </row>
    <row r="519" spans="1:6">
      <c r="A519" s="111" t="s">
        <v>776</v>
      </c>
      <c r="B519" s="3" t="s">
        <v>159</v>
      </c>
      <c r="C519" s="3" t="s">
        <v>98</v>
      </c>
      <c r="D519">
        <v>243</v>
      </c>
      <c r="E519">
        <v>171</v>
      </c>
      <c r="F519">
        <v>172</v>
      </c>
    </row>
    <row r="520" spans="1:6">
      <c r="A520" s="111" t="s">
        <v>777</v>
      </c>
      <c r="B520" s="3" t="s">
        <v>177</v>
      </c>
      <c r="C520" s="3" t="s">
        <v>306</v>
      </c>
      <c r="D520">
        <v>238</v>
      </c>
      <c r="E520">
        <v>205</v>
      </c>
      <c r="F520">
        <v>172</v>
      </c>
    </row>
    <row r="521" spans="1:6">
      <c r="A521" s="111" t="s">
        <v>778</v>
      </c>
      <c r="B521" s="3" t="s">
        <v>169</v>
      </c>
      <c r="C521" s="3" t="s">
        <v>118</v>
      </c>
      <c r="D521">
        <v>161</v>
      </c>
      <c r="E521">
        <v>181</v>
      </c>
      <c r="F521">
        <v>242</v>
      </c>
    </row>
    <row r="522" spans="1:6">
      <c r="A522" s="111" t="s">
        <v>779</v>
      </c>
      <c r="B522" s="3" t="s">
        <v>73</v>
      </c>
      <c r="C522" s="3" t="s">
        <v>38</v>
      </c>
      <c r="D522">
        <v>241</v>
      </c>
      <c r="E522">
        <v>190</v>
      </c>
      <c r="F522">
        <v>251</v>
      </c>
    </row>
    <row r="523" spans="1:6">
      <c r="A523" s="111" t="s">
        <v>780</v>
      </c>
      <c r="B523" s="3" t="s">
        <v>166</v>
      </c>
      <c r="C523" s="3" t="s">
        <v>118</v>
      </c>
      <c r="D523">
        <v>207</v>
      </c>
      <c r="E523">
        <v>184</v>
      </c>
      <c r="F523">
        <v>225</v>
      </c>
    </row>
    <row r="524" spans="1:6">
      <c r="A524" s="111" t="s">
        <v>781</v>
      </c>
      <c r="B524" s="3" t="s">
        <v>177</v>
      </c>
      <c r="C524" s="3" t="s">
        <v>118</v>
      </c>
      <c r="D524">
        <v>249</v>
      </c>
      <c r="E524">
        <v>163</v>
      </c>
      <c r="F524">
        <v>181</v>
      </c>
    </row>
    <row r="525" spans="1:6">
      <c r="A525" s="111" t="s">
        <v>782</v>
      </c>
      <c r="B525" s="3" t="s">
        <v>100</v>
      </c>
      <c r="C525" s="3" t="s">
        <v>118</v>
      </c>
      <c r="D525">
        <v>247</v>
      </c>
      <c r="E525">
        <v>172</v>
      </c>
      <c r="F525">
        <v>181</v>
      </c>
    </row>
    <row r="526" spans="1:6">
      <c r="A526" s="111" t="s">
        <v>783</v>
      </c>
      <c r="B526" s="3" t="s">
        <v>83</v>
      </c>
      <c r="C526" s="3" t="s">
        <v>96</v>
      </c>
      <c r="D526">
        <v>225</v>
      </c>
      <c r="E526">
        <v>217</v>
      </c>
      <c r="F526">
        <v>198</v>
      </c>
    </row>
    <row r="527" spans="1:6">
      <c r="A527" s="111" t="s">
        <v>784</v>
      </c>
      <c r="B527" s="3" t="s">
        <v>284</v>
      </c>
      <c r="C527" s="3" t="s">
        <v>96</v>
      </c>
      <c r="D527">
        <v>231</v>
      </c>
      <c r="E527">
        <v>156</v>
      </c>
      <c r="F527">
        <v>200</v>
      </c>
    </row>
    <row r="528" spans="1:6">
      <c r="A528" s="111" t="s">
        <v>182</v>
      </c>
      <c r="B528" s="3" t="s">
        <v>166</v>
      </c>
      <c r="C528" s="3" t="s">
        <v>118</v>
      </c>
      <c r="D528">
        <v>216</v>
      </c>
      <c r="E528">
        <v>219</v>
      </c>
      <c r="F528">
        <v>163</v>
      </c>
    </row>
    <row r="529" spans="1:6">
      <c r="A529" s="111" t="s">
        <v>184</v>
      </c>
      <c r="B529" s="3" t="s">
        <v>98</v>
      </c>
      <c r="C529" s="3" t="s">
        <v>118</v>
      </c>
      <c r="D529">
        <v>238</v>
      </c>
      <c r="E529">
        <v>205</v>
      </c>
      <c r="F529">
        <v>163</v>
      </c>
    </row>
    <row r="530" spans="1:6">
      <c r="A530" s="111" t="s">
        <v>785</v>
      </c>
      <c r="B530" s="3" t="s">
        <v>73</v>
      </c>
      <c r="C530" s="3" t="s">
        <v>96</v>
      </c>
      <c r="D530">
        <v>185</v>
      </c>
      <c r="E530">
        <v>222</v>
      </c>
      <c r="F530">
        <v>181</v>
      </c>
    </row>
    <row r="531" spans="1:6">
      <c r="A531" s="111" t="s">
        <v>786</v>
      </c>
      <c r="B531" s="3" t="s">
        <v>98</v>
      </c>
      <c r="C531" s="3" t="s">
        <v>73</v>
      </c>
      <c r="D531">
        <v>247</v>
      </c>
      <c r="E531">
        <v>146</v>
      </c>
      <c r="F531">
        <v>242</v>
      </c>
    </row>
    <row r="532" spans="1:6">
      <c r="A532" s="111" t="s">
        <v>787</v>
      </c>
      <c r="B532" s="3" t="s">
        <v>169</v>
      </c>
      <c r="C532" s="3" t="s">
        <v>118</v>
      </c>
      <c r="D532">
        <v>264</v>
      </c>
      <c r="E532">
        <v>150</v>
      </c>
      <c r="F532">
        <v>198</v>
      </c>
    </row>
    <row r="533" spans="1:6">
      <c r="A533" s="111" t="s">
        <v>188</v>
      </c>
      <c r="B533" s="3" t="s">
        <v>97</v>
      </c>
      <c r="C533" s="3" t="s">
        <v>94</v>
      </c>
      <c r="D533">
        <v>237</v>
      </c>
      <c r="E533">
        <v>195</v>
      </c>
      <c r="F533">
        <v>169</v>
      </c>
    </row>
    <row r="534" spans="1:6">
      <c r="A534" s="111" t="s">
        <v>788</v>
      </c>
      <c r="B534" s="3" t="s">
        <v>38</v>
      </c>
      <c r="C534" s="3" t="s">
        <v>306</v>
      </c>
      <c r="D534">
        <v>135</v>
      </c>
      <c r="E534">
        <v>275</v>
      </c>
      <c r="F534">
        <v>155</v>
      </c>
    </row>
    <row r="535" spans="1:6">
      <c r="A535" s="111" t="s">
        <v>789</v>
      </c>
      <c r="B535" s="3" t="s">
        <v>266</v>
      </c>
      <c r="C535" s="3" t="s">
        <v>118</v>
      </c>
      <c r="D535">
        <v>180</v>
      </c>
      <c r="E535">
        <v>254</v>
      </c>
      <c r="F535">
        <v>128</v>
      </c>
    </row>
    <row r="536" spans="1:6">
      <c r="A536" s="111" t="s">
        <v>790</v>
      </c>
      <c r="B536" s="3" t="s">
        <v>98</v>
      </c>
      <c r="C536" s="3" t="s">
        <v>266</v>
      </c>
      <c r="D536">
        <v>171</v>
      </c>
      <c r="E536">
        <v>150</v>
      </c>
      <c r="F536">
        <v>172</v>
      </c>
    </row>
    <row r="537" spans="1:6">
      <c r="A537" s="111" t="s">
        <v>791</v>
      </c>
      <c r="B537" s="3" t="s">
        <v>177</v>
      </c>
      <c r="C537" s="3" t="s">
        <v>266</v>
      </c>
      <c r="D537">
        <v>185</v>
      </c>
      <c r="E537">
        <v>159</v>
      </c>
      <c r="F537">
        <v>137</v>
      </c>
    </row>
    <row r="538" spans="1:6">
      <c r="A538" s="111" t="s">
        <v>792</v>
      </c>
      <c r="B538" s="3" t="s">
        <v>177</v>
      </c>
      <c r="C538" s="3" t="s">
        <v>96</v>
      </c>
      <c r="D538">
        <v>204</v>
      </c>
      <c r="E538">
        <v>219</v>
      </c>
      <c r="F538">
        <v>137</v>
      </c>
    </row>
    <row r="539" spans="1:6">
      <c r="A539" s="111" t="s">
        <v>793</v>
      </c>
      <c r="B539" s="3" t="s">
        <v>177</v>
      </c>
      <c r="C539" s="3" t="s">
        <v>98</v>
      </c>
      <c r="D539">
        <v>204</v>
      </c>
      <c r="E539">
        <v>219</v>
      </c>
      <c r="F539">
        <v>137</v>
      </c>
    </row>
    <row r="540" spans="1:6">
      <c r="A540" s="111" t="s">
        <v>794</v>
      </c>
      <c r="B540" s="3" t="s">
        <v>177</v>
      </c>
      <c r="C540" s="3" t="s">
        <v>100</v>
      </c>
      <c r="D540">
        <v>204</v>
      </c>
      <c r="E540">
        <v>219</v>
      </c>
      <c r="F540">
        <v>137</v>
      </c>
    </row>
    <row r="541" spans="1:6">
      <c r="A541" s="111" t="s">
        <v>795</v>
      </c>
      <c r="B541" s="3" t="s">
        <v>177</v>
      </c>
      <c r="C541" s="3" t="s">
        <v>166</v>
      </c>
      <c r="D541">
        <v>204</v>
      </c>
      <c r="E541">
        <v>219</v>
      </c>
      <c r="F541">
        <v>137</v>
      </c>
    </row>
    <row r="542" spans="1:6">
      <c r="A542" s="111" t="s">
        <v>796</v>
      </c>
      <c r="B542" s="3" t="s">
        <v>177</v>
      </c>
      <c r="C542" s="3" t="s">
        <v>172</v>
      </c>
      <c r="D542">
        <v>204</v>
      </c>
      <c r="E542">
        <v>219</v>
      </c>
      <c r="F542">
        <v>137</v>
      </c>
    </row>
    <row r="543" spans="1:6">
      <c r="A543" s="111" t="s">
        <v>797</v>
      </c>
      <c r="B543" s="3" t="s">
        <v>97</v>
      </c>
      <c r="C543" s="3" t="s">
        <v>118</v>
      </c>
      <c r="D543">
        <v>156</v>
      </c>
      <c r="E543">
        <v>270</v>
      </c>
      <c r="F543">
        <v>181</v>
      </c>
    </row>
    <row r="544" spans="1:6">
      <c r="A544" s="111" t="s">
        <v>798</v>
      </c>
      <c r="B544" s="3" t="s">
        <v>97</v>
      </c>
      <c r="C544" s="3" t="s">
        <v>118</v>
      </c>
      <c r="D544">
        <v>212</v>
      </c>
      <c r="E544">
        <v>212</v>
      </c>
      <c r="F544">
        <v>190</v>
      </c>
    </row>
    <row r="545" spans="1:6">
      <c r="A545" s="111" t="s">
        <v>799</v>
      </c>
      <c r="B545" s="3" t="s">
        <v>97</v>
      </c>
      <c r="C545" s="3" t="s">
        <v>118</v>
      </c>
      <c r="D545">
        <v>270</v>
      </c>
      <c r="E545">
        <v>151</v>
      </c>
      <c r="F545">
        <v>181</v>
      </c>
    </row>
    <row r="546" spans="1:6">
      <c r="A546" s="111" t="s">
        <v>800</v>
      </c>
      <c r="B546" s="3" t="s">
        <v>306</v>
      </c>
      <c r="C546" s="3" t="s">
        <v>44</v>
      </c>
      <c r="D546">
        <v>275</v>
      </c>
      <c r="E546">
        <v>211</v>
      </c>
      <c r="F546">
        <v>205</v>
      </c>
    </row>
    <row r="547" spans="1:6">
      <c r="A547" s="111" t="s">
        <v>801</v>
      </c>
      <c r="B547" s="3" t="s">
        <v>306</v>
      </c>
      <c r="C547" s="3" t="s">
        <v>44</v>
      </c>
      <c r="D547">
        <v>270</v>
      </c>
      <c r="E547">
        <v>225</v>
      </c>
      <c r="F547">
        <v>205</v>
      </c>
    </row>
    <row r="548" spans="1:6">
      <c r="A548" s="111" t="s">
        <v>802</v>
      </c>
      <c r="B548" s="3" t="s">
        <v>172</v>
      </c>
      <c r="C548" s="3" t="s">
        <v>44</v>
      </c>
      <c r="D548">
        <v>280</v>
      </c>
      <c r="E548">
        <v>215</v>
      </c>
      <c r="F548">
        <v>189</v>
      </c>
    </row>
    <row r="549" spans="1:6">
      <c r="A549" s="111" t="s">
        <v>803</v>
      </c>
      <c r="B549" s="3" t="s">
        <v>172</v>
      </c>
      <c r="C549" s="3" t="s">
        <v>44</v>
      </c>
      <c r="D549">
        <v>286</v>
      </c>
      <c r="E549">
        <v>223</v>
      </c>
      <c r="F549">
        <v>189</v>
      </c>
    </row>
    <row r="550" spans="1:6">
      <c r="A550" s="111" t="s">
        <v>804</v>
      </c>
      <c r="B550" s="3" t="s">
        <v>100</v>
      </c>
      <c r="C550" s="3" t="s">
        <v>306</v>
      </c>
      <c r="D550">
        <v>251</v>
      </c>
      <c r="E550">
        <v>213</v>
      </c>
      <c r="F550">
        <v>209</v>
      </c>
    </row>
    <row r="551" spans="1:6">
      <c r="A551" s="111" t="s">
        <v>805</v>
      </c>
      <c r="B551" s="3" t="s">
        <v>169</v>
      </c>
      <c r="C551" s="3" t="s">
        <v>118</v>
      </c>
      <c r="D551">
        <v>287</v>
      </c>
      <c r="E551">
        <v>210</v>
      </c>
      <c r="F551">
        <v>221</v>
      </c>
    </row>
    <row r="552" spans="1:6">
      <c r="A552" s="111" t="s">
        <v>806</v>
      </c>
      <c r="B552" s="3" t="s">
        <v>266</v>
      </c>
      <c r="C552" s="3" t="s">
        <v>44</v>
      </c>
      <c r="D552">
        <v>187</v>
      </c>
      <c r="E552">
        <v>225</v>
      </c>
      <c r="F552">
        <v>284</v>
      </c>
    </row>
    <row r="553" spans="1:6">
      <c r="A553" s="111" t="s">
        <v>807</v>
      </c>
      <c r="B553" s="3" t="s">
        <v>266</v>
      </c>
      <c r="C553" s="3" t="s">
        <v>44</v>
      </c>
      <c r="D553">
        <v>225</v>
      </c>
      <c r="E553">
        <v>187</v>
      </c>
      <c r="F553">
        <v>284</v>
      </c>
    </row>
    <row r="554" spans="1:6">
      <c r="A554" s="111" t="s">
        <v>808</v>
      </c>
      <c r="B554" s="3" t="s">
        <v>97</v>
      </c>
      <c r="C554" s="3" t="s">
        <v>118</v>
      </c>
      <c r="D554">
        <v>152</v>
      </c>
      <c r="E554">
        <v>258</v>
      </c>
      <c r="F554">
        <v>260</v>
      </c>
    </row>
    <row r="555" spans="1:6">
      <c r="A555" s="111" t="s">
        <v>809</v>
      </c>
      <c r="B555" s="3" t="s">
        <v>172</v>
      </c>
      <c r="C555" s="3" t="s">
        <v>118</v>
      </c>
      <c r="D555">
        <v>162</v>
      </c>
      <c r="E555">
        <v>162</v>
      </c>
      <c r="F555">
        <v>190</v>
      </c>
    </row>
    <row r="556" spans="1:6">
      <c r="A556" s="111" t="s">
        <v>810</v>
      </c>
      <c r="B556" s="3" t="s">
        <v>172</v>
      </c>
      <c r="C556" s="3" t="s">
        <v>118</v>
      </c>
      <c r="D556">
        <v>210</v>
      </c>
      <c r="E556">
        <v>210</v>
      </c>
      <c r="F556">
        <v>225</v>
      </c>
    </row>
    <row r="557" spans="1:6">
      <c r="A557" s="111" t="s">
        <v>811</v>
      </c>
      <c r="B557" s="3" t="s">
        <v>159</v>
      </c>
      <c r="C557" s="3" t="s">
        <v>118</v>
      </c>
      <c r="D557">
        <v>285</v>
      </c>
      <c r="E557">
        <v>198</v>
      </c>
      <c r="F557">
        <v>172</v>
      </c>
    </row>
    <row r="558" spans="1:6">
      <c r="A558" s="111" t="s">
        <v>812</v>
      </c>
      <c r="B558" s="3" t="s">
        <v>166</v>
      </c>
      <c r="C558" s="3" t="s">
        <v>118</v>
      </c>
      <c r="D558">
        <v>210</v>
      </c>
      <c r="E558">
        <v>210</v>
      </c>
      <c r="F558">
        <v>225</v>
      </c>
    </row>
    <row r="559" spans="1:6">
      <c r="A559" s="111" t="s">
        <v>813</v>
      </c>
      <c r="B559" s="3" t="s">
        <v>166</v>
      </c>
      <c r="C559" s="3" t="s">
        <v>96</v>
      </c>
      <c r="D559">
        <v>261</v>
      </c>
      <c r="E559">
        <v>166</v>
      </c>
      <c r="F559">
        <v>225</v>
      </c>
    </row>
    <row r="560" spans="1:6">
      <c r="A560" s="111" t="s">
        <v>814</v>
      </c>
      <c r="B560" s="3" t="s">
        <v>169</v>
      </c>
      <c r="C560" s="3" t="s">
        <v>118</v>
      </c>
      <c r="D560">
        <v>238</v>
      </c>
      <c r="E560">
        <v>238</v>
      </c>
      <c r="F560">
        <v>237</v>
      </c>
    </row>
    <row r="561" spans="1:6">
      <c r="A561" s="111" t="s">
        <v>815</v>
      </c>
      <c r="B561" s="3" t="s">
        <v>284</v>
      </c>
      <c r="C561" s="3" t="s">
        <v>118</v>
      </c>
      <c r="D561">
        <v>238</v>
      </c>
      <c r="E561">
        <v>238</v>
      </c>
      <c r="F561">
        <v>237</v>
      </c>
    </row>
    <row r="562" spans="1:6">
      <c r="A562" s="111" t="s">
        <v>816</v>
      </c>
      <c r="B562" s="3" t="s">
        <v>159</v>
      </c>
      <c r="C562" s="3" t="s">
        <v>118</v>
      </c>
      <c r="D562">
        <v>238</v>
      </c>
      <c r="E562">
        <v>238</v>
      </c>
      <c r="F562">
        <v>237</v>
      </c>
    </row>
    <row r="563" spans="1:6">
      <c r="A563" s="111" t="s">
        <v>817</v>
      </c>
      <c r="B563" s="3" t="s">
        <v>44</v>
      </c>
      <c r="C563" s="3" t="s">
        <v>118</v>
      </c>
      <c r="D563">
        <v>238</v>
      </c>
      <c r="E563">
        <v>238</v>
      </c>
      <c r="F563">
        <v>237</v>
      </c>
    </row>
    <row r="564" spans="1:6">
      <c r="A564" s="111" t="s">
        <v>818</v>
      </c>
      <c r="B564" s="3" t="s">
        <v>177</v>
      </c>
      <c r="C564" s="3" t="s">
        <v>118</v>
      </c>
      <c r="D564">
        <v>238</v>
      </c>
      <c r="E564">
        <v>238</v>
      </c>
      <c r="F564">
        <v>237</v>
      </c>
    </row>
    <row r="565" spans="1:6">
      <c r="A565" s="111" t="s">
        <v>819</v>
      </c>
      <c r="B565" s="3" t="s">
        <v>83</v>
      </c>
      <c r="C565" s="3" t="s">
        <v>118</v>
      </c>
      <c r="D565">
        <v>238</v>
      </c>
      <c r="E565">
        <v>238</v>
      </c>
      <c r="F565">
        <v>237</v>
      </c>
    </row>
    <row r="566" spans="1:6">
      <c r="A566" s="111" t="s">
        <v>820</v>
      </c>
      <c r="B566" s="3" t="s">
        <v>94</v>
      </c>
      <c r="C566" s="3" t="s">
        <v>118</v>
      </c>
      <c r="D566">
        <v>238</v>
      </c>
      <c r="E566">
        <v>238</v>
      </c>
      <c r="F566">
        <v>237</v>
      </c>
    </row>
    <row r="567" spans="1:6">
      <c r="A567" s="111" t="s">
        <v>821</v>
      </c>
      <c r="B567" s="3" t="s">
        <v>100</v>
      </c>
      <c r="C567" s="3" t="s">
        <v>118</v>
      </c>
      <c r="D567">
        <v>238</v>
      </c>
      <c r="E567">
        <v>238</v>
      </c>
      <c r="F567">
        <v>237</v>
      </c>
    </row>
    <row r="568" spans="1:6">
      <c r="A568" s="111" t="s">
        <v>1447</v>
      </c>
      <c r="B568" s="3" t="s">
        <v>96</v>
      </c>
      <c r="C568" s="3" t="s">
        <v>118</v>
      </c>
      <c r="D568">
        <v>238</v>
      </c>
      <c r="E568">
        <v>238</v>
      </c>
      <c r="F568">
        <v>237</v>
      </c>
    </row>
    <row r="569" spans="1:6">
      <c r="A569" s="111" t="s">
        <v>822</v>
      </c>
      <c r="B569" s="3" t="s">
        <v>266</v>
      </c>
      <c r="C569" s="3" t="s">
        <v>118</v>
      </c>
      <c r="D569">
        <v>238</v>
      </c>
      <c r="E569">
        <v>238</v>
      </c>
      <c r="F569">
        <v>237</v>
      </c>
    </row>
    <row r="570" spans="1:6">
      <c r="A570" s="111" t="s">
        <v>823</v>
      </c>
      <c r="B570" s="3" t="s">
        <v>166</v>
      </c>
      <c r="C570" s="3" t="s">
        <v>118</v>
      </c>
      <c r="D570">
        <v>238</v>
      </c>
      <c r="E570">
        <v>238</v>
      </c>
      <c r="F570">
        <v>237</v>
      </c>
    </row>
    <row r="571" spans="1:6">
      <c r="A571" s="111" t="s">
        <v>824</v>
      </c>
      <c r="B571" s="3" t="s">
        <v>73</v>
      </c>
      <c r="C571" s="3" t="s">
        <v>118</v>
      </c>
      <c r="D571">
        <v>238</v>
      </c>
      <c r="E571">
        <v>238</v>
      </c>
      <c r="F571">
        <v>237</v>
      </c>
    </row>
    <row r="572" spans="1:6">
      <c r="A572" s="111" t="s">
        <v>825</v>
      </c>
      <c r="B572" s="3" t="s">
        <v>98</v>
      </c>
      <c r="C572" s="3" t="s">
        <v>118</v>
      </c>
      <c r="D572">
        <v>238</v>
      </c>
      <c r="E572">
        <v>238</v>
      </c>
      <c r="F572">
        <v>237</v>
      </c>
    </row>
    <row r="573" spans="1:6">
      <c r="A573" s="111" t="s">
        <v>826</v>
      </c>
      <c r="B573" s="3" t="s">
        <v>274</v>
      </c>
      <c r="C573" s="3" t="s">
        <v>118</v>
      </c>
      <c r="D573">
        <v>238</v>
      </c>
      <c r="E573">
        <v>238</v>
      </c>
      <c r="F573">
        <v>237</v>
      </c>
    </row>
    <row r="574" spans="1:6">
      <c r="A574" s="111" t="s">
        <v>827</v>
      </c>
      <c r="B574" s="3" t="s">
        <v>97</v>
      </c>
      <c r="C574" s="3" t="s">
        <v>118</v>
      </c>
      <c r="D574">
        <v>238</v>
      </c>
      <c r="E574">
        <v>238</v>
      </c>
      <c r="F574">
        <v>237</v>
      </c>
    </row>
    <row r="575" spans="1:6">
      <c r="A575" s="111" t="s">
        <v>828</v>
      </c>
      <c r="B575" s="3" t="s">
        <v>38</v>
      </c>
      <c r="C575" s="3" t="s">
        <v>118</v>
      </c>
      <c r="D575">
        <v>238</v>
      </c>
      <c r="E575">
        <v>238</v>
      </c>
      <c r="F575">
        <v>237</v>
      </c>
    </row>
    <row r="576" spans="1:6">
      <c r="A576" s="111" t="s">
        <v>829</v>
      </c>
      <c r="B576" s="3" t="s">
        <v>306</v>
      </c>
      <c r="C576" s="3" t="s">
        <v>118</v>
      </c>
      <c r="D576">
        <v>238</v>
      </c>
      <c r="E576">
        <v>238</v>
      </c>
      <c r="F576">
        <v>237</v>
      </c>
    </row>
    <row r="577" spans="1:6">
      <c r="A577" s="111" t="s">
        <v>830</v>
      </c>
      <c r="B577" s="3" t="s">
        <v>172</v>
      </c>
      <c r="C577" s="3" t="s">
        <v>118</v>
      </c>
      <c r="D577">
        <v>238</v>
      </c>
      <c r="E577">
        <v>238</v>
      </c>
      <c r="F577">
        <v>237</v>
      </c>
    </row>
    <row r="578" spans="1:6">
      <c r="A578" s="111" t="s">
        <v>831</v>
      </c>
      <c r="B578" s="3" t="s">
        <v>97</v>
      </c>
      <c r="C578" s="3" t="s">
        <v>100</v>
      </c>
      <c r="D578">
        <v>210</v>
      </c>
      <c r="E578">
        <v>210</v>
      </c>
      <c r="F578">
        <v>225</v>
      </c>
    </row>
    <row r="579" spans="1:6">
      <c r="A579" s="111" t="s">
        <v>832</v>
      </c>
      <c r="B579" s="3" t="s">
        <v>166</v>
      </c>
      <c r="C579" s="3" t="s">
        <v>118</v>
      </c>
      <c r="D579">
        <v>88</v>
      </c>
      <c r="E579">
        <v>107</v>
      </c>
      <c r="F579">
        <v>128</v>
      </c>
    </row>
    <row r="580" spans="1:6">
      <c r="A580" s="111" t="s">
        <v>833</v>
      </c>
      <c r="B580" s="3" t="s">
        <v>166</v>
      </c>
      <c r="C580" s="3" t="s">
        <v>118</v>
      </c>
      <c r="D580">
        <v>122</v>
      </c>
      <c r="E580">
        <v>152</v>
      </c>
      <c r="F580">
        <v>155</v>
      </c>
    </row>
    <row r="581" spans="1:6">
      <c r="A581" s="111" t="s">
        <v>834</v>
      </c>
      <c r="B581" s="3" t="s">
        <v>166</v>
      </c>
      <c r="C581" s="3" t="s">
        <v>118</v>
      </c>
      <c r="D581">
        <v>161</v>
      </c>
      <c r="E581">
        <v>204</v>
      </c>
      <c r="F581">
        <v>181</v>
      </c>
    </row>
    <row r="582" spans="1:6">
      <c r="A582" s="111" t="s">
        <v>835</v>
      </c>
      <c r="B582" s="3" t="s">
        <v>100</v>
      </c>
      <c r="C582" s="3" t="s">
        <v>118</v>
      </c>
      <c r="D582">
        <v>115</v>
      </c>
      <c r="E582">
        <v>85</v>
      </c>
      <c r="F582">
        <v>163</v>
      </c>
    </row>
    <row r="583" spans="1:6">
      <c r="A583" s="111" t="s">
        <v>836</v>
      </c>
      <c r="B583" s="3" t="s">
        <v>100</v>
      </c>
      <c r="C583" s="3" t="s">
        <v>94</v>
      </c>
      <c r="D583">
        <v>173</v>
      </c>
      <c r="E583">
        <v>106</v>
      </c>
      <c r="F583">
        <v>207</v>
      </c>
    </row>
    <row r="584" spans="1:6">
      <c r="A584" s="111" t="s">
        <v>837</v>
      </c>
      <c r="B584" s="3" t="s">
        <v>100</v>
      </c>
      <c r="C584" s="3" t="s">
        <v>94</v>
      </c>
      <c r="D584">
        <v>235</v>
      </c>
      <c r="E584">
        <v>127</v>
      </c>
      <c r="F584">
        <v>242</v>
      </c>
    </row>
    <row r="585" spans="1:6">
      <c r="A585" s="111" t="s">
        <v>838</v>
      </c>
      <c r="B585" s="3" t="s">
        <v>172</v>
      </c>
      <c r="C585" s="3" t="s">
        <v>118</v>
      </c>
      <c r="D585">
        <v>117</v>
      </c>
      <c r="E585">
        <v>85</v>
      </c>
      <c r="F585">
        <v>146</v>
      </c>
    </row>
    <row r="586" spans="1:6">
      <c r="A586" s="111" t="s">
        <v>839</v>
      </c>
      <c r="B586" s="3" t="s">
        <v>172</v>
      </c>
      <c r="C586" s="3" t="s">
        <v>118</v>
      </c>
      <c r="D586">
        <v>159</v>
      </c>
      <c r="E586">
        <v>116</v>
      </c>
      <c r="F586">
        <v>181</v>
      </c>
    </row>
    <row r="587" spans="1:6">
      <c r="A587" s="111" t="s">
        <v>840</v>
      </c>
      <c r="B587" s="3" t="s">
        <v>172</v>
      </c>
      <c r="C587" s="3" t="s">
        <v>118</v>
      </c>
      <c r="D587">
        <v>212</v>
      </c>
      <c r="E587">
        <v>157</v>
      </c>
      <c r="F587">
        <v>216</v>
      </c>
    </row>
    <row r="588" spans="1:6">
      <c r="A588" s="111" t="s">
        <v>841</v>
      </c>
      <c r="B588" s="3" t="s">
        <v>172</v>
      </c>
      <c r="C588" s="3" t="s">
        <v>159</v>
      </c>
      <c r="D588">
        <v>218</v>
      </c>
      <c r="E588">
        <v>152</v>
      </c>
      <c r="F588">
        <v>207</v>
      </c>
    </row>
    <row r="589" spans="1:6">
      <c r="A589" s="111" t="s">
        <v>842</v>
      </c>
      <c r="B589" s="3" t="s">
        <v>169</v>
      </c>
      <c r="C589" s="3" t="s">
        <v>118</v>
      </c>
      <c r="D589">
        <v>98</v>
      </c>
      <c r="E589">
        <v>73</v>
      </c>
      <c r="F589">
        <v>128</v>
      </c>
    </row>
    <row r="590" spans="1:6">
      <c r="A590" s="111" t="s">
        <v>843</v>
      </c>
      <c r="B590" s="3" t="s">
        <v>169</v>
      </c>
      <c r="C590" s="3" t="s">
        <v>118</v>
      </c>
      <c r="D590">
        <v>165</v>
      </c>
      <c r="E590">
        <v>139</v>
      </c>
      <c r="F590">
        <v>155</v>
      </c>
    </row>
    <row r="591" spans="1:6">
      <c r="A591" s="111" t="s">
        <v>844</v>
      </c>
      <c r="B591" s="3" t="s">
        <v>169</v>
      </c>
      <c r="C591" s="3" t="s">
        <v>118</v>
      </c>
      <c r="D591">
        <v>107</v>
      </c>
      <c r="E591">
        <v>86</v>
      </c>
      <c r="F591">
        <v>128</v>
      </c>
    </row>
    <row r="592" spans="1:6">
      <c r="A592" s="111" t="s">
        <v>845</v>
      </c>
      <c r="B592" s="3" t="s">
        <v>169</v>
      </c>
      <c r="C592" s="3" t="s">
        <v>118</v>
      </c>
      <c r="D592">
        <v>145</v>
      </c>
      <c r="E592">
        <v>126</v>
      </c>
      <c r="F592">
        <v>163</v>
      </c>
    </row>
    <row r="593" spans="1:6">
      <c r="A593" s="111" t="s">
        <v>846</v>
      </c>
      <c r="B593" s="3" t="s">
        <v>169</v>
      </c>
      <c r="C593" s="3" t="s">
        <v>118</v>
      </c>
      <c r="D593">
        <v>206</v>
      </c>
      <c r="E593">
        <v>182</v>
      </c>
      <c r="F593">
        <v>198</v>
      </c>
    </row>
    <row r="594" spans="1:6">
      <c r="A594" s="111" t="s">
        <v>847</v>
      </c>
      <c r="B594" s="3" t="s">
        <v>159</v>
      </c>
      <c r="C594" s="3" t="s">
        <v>118</v>
      </c>
      <c r="D594">
        <v>98</v>
      </c>
      <c r="E594">
        <v>73</v>
      </c>
      <c r="F594">
        <v>121</v>
      </c>
    </row>
    <row r="595" spans="1:6">
      <c r="A595" s="111" t="s">
        <v>848</v>
      </c>
      <c r="B595" s="3" t="s">
        <v>159</v>
      </c>
      <c r="C595" s="3" t="s">
        <v>118</v>
      </c>
      <c r="D595">
        <v>187</v>
      </c>
      <c r="E595">
        <v>106</v>
      </c>
      <c r="F595">
        <v>162</v>
      </c>
    </row>
    <row r="596" spans="1:6">
      <c r="A596" s="111" t="s">
        <v>849</v>
      </c>
      <c r="B596" s="3" t="s">
        <v>166</v>
      </c>
      <c r="C596" s="3" t="s">
        <v>118</v>
      </c>
      <c r="D596">
        <v>104</v>
      </c>
      <c r="E596">
        <v>94</v>
      </c>
      <c r="F596">
        <v>137</v>
      </c>
    </row>
    <row r="597" spans="1:6">
      <c r="A597" s="111" t="s">
        <v>850</v>
      </c>
      <c r="B597" s="3" t="s">
        <v>166</v>
      </c>
      <c r="C597" s="3" t="s">
        <v>118</v>
      </c>
      <c r="D597">
        <v>206</v>
      </c>
      <c r="E597">
        <v>133</v>
      </c>
      <c r="F597">
        <v>181</v>
      </c>
    </row>
    <row r="598" spans="1:6">
      <c r="A598" s="111" t="s">
        <v>851</v>
      </c>
      <c r="B598" s="3" t="s">
        <v>100</v>
      </c>
      <c r="C598" s="3" t="s">
        <v>118</v>
      </c>
      <c r="D598">
        <v>104</v>
      </c>
      <c r="E598">
        <v>94</v>
      </c>
      <c r="F598">
        <v>137</v>
      </c>
    </row>
    <row r="599" spans="1:6">
      <c r="A599" s="111" t="s">
        <v>852</v>
      </c>
      <c r="B599" s="3" t="s">
        <v>100</v>
      </c>
      <c r="C599" s="3" t="s">
        <v>118</v>
      </c>
      <c r="D599">
        <v>206</v>
      </c>
      <c r="E599">
        <v>133</v>
      </c>
      <c r="F599">
        <v>181</v>
      </c>
    </row>
    <row r="600" spans="1:6">
      <c r="A600" s="111" t="s">
        <v>853</v>
      </c>
      <c r="B600" s="3" t="s">
        <v>172</v>
      </c>
      <c r="C600" s="3" t="s">
        <v>118</v>
      </c>
      <c r="D600">
        <v>104</v>
      </c>
      <c r="E600">
        <v>94</v>
      </c>
      <c r="F600">
        <v>137</v>
      </c>
    </row>
    <row r="601" spans="1:6">
      <c r="A601" s="111" t="s">
        <v>854</v>
      </c>
      <c r="B601" s="3" t="s">
        <v>172</v>
      </c>
      <c r="C601" s="3" t="s">
        <v>118</v>
      </c>
      <c r="D601">
        <v>206</v>
      </c>
      <c r="E601">
        <v>133</v>
      </c>
      <c r="F601">
        <v>181</v>
      </c>
    </row>
    <row r="602" spans="1:6">
      <c r="A602" s="111" t="s">
        <v>855</v>
      </c>
      <c r="B602" s="3" t="s">
        <v>97</v>
      </c>
      <c r="C602" s="3" t="s">
        <v>118</v>
      </c>
      <c r="D602">
        <v>111</v>
      </c>
      <c r="E602">
        <v>92</v>
      </c>
      <c r="F602">
        <v>183</v>
      </c>
    </row>
    <row r="603" spans="1:6">
      <c r="A603" s="111" t="s">
        <v>856</v>
      </c>
      <c r="B603" s="3" t="s">
        <v>97</v>
      </c>
      <c r="C603" s="3" t="s">
        <v>118</v>
      </c>
      <c r="D603">
        <v>183</v>
      </c>
      <c r="E603">
        <v>166</v>
      </c>
      <c r="F603">
        <v>253</v>
      </c>
    </row>
    <row r="604" spans="1:6">
      <c r="A604" s="111" t="s">
        <v>857</v>
      </c>
      <c r="B604" s="3" t="s">
        <v>169</v>
      </c>
      <c r="C604" s="3" t="s">
        <v>96</v>
      </c>
      <c r="D604">
        <v>98</v>
      </c>
      <c r="E604">
        <v>80</v>
      </c>
      <c r="F604">
        <v>137</v>
      </c>
    </row>
    <row r="605" spans="1:6">
      <c r="A605" s="111" t="s">
        <v>858</v>
      </c>
      <c r="B605" s="3" t="s">
        <v>169</v>
      </c>
      <c r="C605" s="3" t="s">
        <v>96</v>
      </c>
      <c r="D605">
        <v>144</v>
      </c>
      <c r="E605">
        <v>107</v>
      </c>
      <c r="F605">
        <v>158</v>
      </c>
    </row>
    <row r="606" spans="1:6">
      <c r="A606" s="111" t="s">
        <v>859</v>
      </c>
      <c r="B606" s="3" t="s">
        <v>169</v>
      </c>
      <c r="C606" s="3" t="s">
        <v>96</v>
      </c>
      <c r="D606">
        <v>226</v>
      </c>
      <c r="E606">
        <v>146</v>
      </c>
      <c r="F606">
        <v>190</v>
      </c>
    </row>
    <row r="607" spans="1:6">
      <c r="A607" s="111" t="s">
        <v>860</v>
      </c>
      <c r="B607" s="3" t="s">
        <v>177</v>
      </c>
      <c r="C607" s="3" t="s">
        <v>118</v>
      </c>
      <c r="D607">
        <v>118</v>
      </c>
      <c r="E607">
        <v>64</v>
      </c>
      <c r="F607">
        <v>128</v>
      </c>
    </row>
    <row r="608" spans="1:6">
      <c r="A608" s="111" t="s">
        <v>861</v>
      </c>
      <c r="B608" s="3" t="s">
        <v>177</v>
      </c>
      <c r="C608" s="3" t="s">
        <v>118</v>
      </c>
      <c r="D608">
        <v>211</v>
      </c>
      <c r="E608">
        <v>136</v>
      </c>
      <c r="F608">
        <v>181</v>
      </c>
    </row>
    <row r="609" spans="1:6">
      <c r="A609" s="111" t="s">
        <v>862</v>
      </c>
      <c r="B609" s="3" t="s">
        <v>38</v>
      </c>
      <c r="C609" s="3" t="s">
        <v>118</v>
      </c>
      <c r="D609">
        <v>121</v>
      </c>
      <c r="E609">
        <v>110</v>
      </c>
      <c r="F609">
        <v>146</v>
      </c>
    </row>
    <row r="610" spans="1:6">
      <c r="A610" s="111" t="s">
        <v>863</v>
      </c>
      <c r="B610" s="3" t="s">
        <v>38</v>
      </c>
      <c r="C610" s="3" t="s">
        <v>118</v>
      </c>
      <c r="D610">
        <v>174</v>
      </c>
      <c r="E610">
        <v>143</v>
      </c>
      <c r="F610">
        <v>172</v>
      </c>
    </row>
    <row r="611" spans="1:6">
      <c r="A611" s="111" t="s">
        <v>262</v>
      </c>
      <c r="B611" s="3" t="s">
        <v>38</v>
      </c>
      <c r="C611" s="3" t="s">
        <v>118</v>
      </c>
      <c r="D611">
        <v>226</v>
      </c>
      <c r="E611">
        <v>201</v>
      </c>
      <c r="F611">
        <v>198</v>
      </c>
    </row>
    <row r="612" spans="1:6">
      <c r="A612" s="111" t="s">
        <v>864</v>
      </c>
      <c r="B612" s="3" t="s">
        <v>97</v>
      </c>
      <c r="C612" s="3" t="s">
        <v>96</v>
      </c>
      <c r="D612">
        <v>107</v>
      </c>
      <c r="E612">
        <v>85</v>
      </c>
      <c r="F612">
        <v>163</v>
      </c>
    </row>
    <row r="613" spans="1:6">
      <c r="A613" s="111" t="s">
        <v>865</v>
      </c>
      <c r="B613" s="3" t="s">
        <v>97</v>
      </c>
      <c r="C613" s="3" t="s">
        <v>96</v>
      </c>
      <c r="D613">
        <v>161</v>
      </c>
      <c r="E613">
        <v>119</v>
      </c>
      <c r="F613">
        <v>167</v>
      </c>
    </row>
    <row r="614" spans="1:6">
      <c r="A614" s="111" t="s">
        <v>866</v>
      </c>
      <c r="B614" s="3" t="s">
        <v>73</v>
      </c>
      <c r="C614" s="3" t="s">
        <v>118</v>
      </c>
      <c r="D614">
        <v>154</v>
      </c>
      <c r="E614">
        <v>85</v>
      </c>
      <c r="F614">
        <v>155</v>
      </c>
    </row>
    <row r="615" spans="1:6">
      <c r="A615" s="111" t="s">
        <v>867</v>
      </c>
      <c r="B615" s="3" t="s">
        <v>73</v>
      </c>
      <c r="C615" s="3" t="s">
        <v>306</v>
      </c>
      <c r="D615">
        <v>255</v>
      </c>
      <c r="E615">
        <v>129</v>
      </c>
      <c r="F615">
        <v>242</v>
      </c>
    </row>
    <row r="616" spans="1:6">
      <c r="A616" s="111" t="s">
        <v>868</v>
      </c>
      <c r="B616" s="3" t="s">
        <v>169</v>
      </c>
      <c r="C616" s="3" t="s">
        <v>118</v>
      </c>
      <c r="D616">
        <v>114</v>
      </c>
      <c r="E616">
        <v>163</v>
      </c>
      <c r="F616">
        <v>230</v>
      </c>
    </row>
    <row r="617" spans="1:6">
      <c r="A617" s="111" t="s">
        <v>869</v>
      </c>
      <c r="B617" s="3" t="s">
        <v>94</v>
      </c>
      <c r="C617" s="3" t="s">
        <v>118</v>
      </c>
      <c r="D617">
        <v>134</v>
      </c>
      <c r="E617">
        <v>87</v>
      </c>
      <c r="F617">
        <v>181</v>
      </c>
    </row>
    <row r="618" spans="1:6">
      <c r="A618" s="111" t="s">
        <v>870</v>
      </c>
      <c r="B618" s="3" t="s">
        <v>94</v>
      </c>
      <c r="C618" s="3" t="s">
        <v>118</v>
      </c>
      <c r="D618">
        <v>180</v>
      </c>
      <c r="E618">
        <v>134</v>
      </c>
      <c r="F618">
        <v>198</v>
      </c>
    </row>
    <row r="619" spans="1:6">
      <c r="A619" s="111" t="s">
        <v>871</v>
      </c>
      <c r="B619" s="3" t="s">
        <v>94</v>
      </c>
      <c r="C619" s="3" t="s">
        <v>118</v>
      </c>
      <c r="D619">
        <v>243</v>
      </c>
      <c r="E619">
        <v>158</v>
      </c>
      <c r="F619">
        <v>233</v>
      </c>
    </row>
    <row r="620" spans="1:6">
      <c r="A620" s="111" t="s">
        <v>872</v>
      </c>
      <c r="B620" s="3" t="s">
        <v>172</v>
      </c>
      <c r="C620" s="3" t="s">
        <v>118</v>
      </c>
      <c r="D620">
        <v>98</v>
      </c>
      <c r="E620">
        <v>78</v>
      </c>
      <c r="F620">
        <v>137</v>
      </c>
    </row>
    <row r="621" spans="1:6">
      <c r="A621" s="111" t="s">
        <v>873</v>
      </c>
      <c r="B621" s="3" t="s">
        <v>172</v>
      </c>
      <c r="C621" s="3" t="s">
        <v>73</v>
      </c>
      <c r="D621">
        <v>128</v>
      </c>
      <c r="E621">
        <v>109</v>
      </c>
      <c r="F621">
        <v>181</v>
      </c>
    </row>
    <row r="622" spans="1:6">
      <c r="A622" s="111" t="s">
        <v>874</v>
      </c>
      <c r="B622" s="3" t="s">
        <v>172</v>
      </c>
      <c r="C622" s="3" t="s">
        <v>73</v>
      </c>
      <c r="D622">
        <v>188</v>
      </c>
      <c r="E622">
        <v>150</v>
      </c>
      <c r="F622">
        <v>233</v>
      </c>
    </row>
    <row r="623" spans="1:6">
      <c r="A623" s="111" t="s">
        <v>875</v>
      </c>
      <c r="B623" s="3" t="s">
        <v>94</v>
      </c>
      <c r="C623" s="3" t="s">
        <v>118</v>
      </c>
      <c r="D623">
        <v>172</v>
      </c>
      <c r="E623">
        <v>160</v>
      </c>
      <c r="F623">
        <v>260</v>
      </c>
    </row>
    <row r="624" spans="1:6">
      <c r="A624" s="111" t="s">
        <v>876</v>
      </c>
      <c r="B624" s="3" t="s">
        <v>94</v>
      </c>
      <c r="C624" s="3" t="s">
        <v>118</v>
      </c>
      <c r="D624">
        <v>231</v>
      </c>
      <c r="E624">
        <v>153</v>
      </c>
      <c r="F624">
        <v>181</v>
      </c>
    </row>
    <row r="625" spans="1:6">
      <c r="A625" s="111" t="s">
        <v>877</v>
      </c>
      <c r="B625" s="3" t="s">
        <v>284</v>
      </c>
      <c r="C625" s="3" t="s">
        <v>166</v>
      </c>
      <c r="D625">
        <v>96</v>
      </c>
      <c r="E625">
        <v>124</v>
      </c>
      <c r="F625">
        <v>128</v>
      </c>
    </row>
    <row r="626" spans="1:6">
      <c r="A626" s="111" t="s">
        <v>878</v>
      </c>
      <c r="B626" s="3" t="s">
        <v>284</v>
      </c>
      <c r="C626" s="3" t="s">
        <v>166</v>
      </c>
      <c r="D626">
        <v>115</v>
      </c>
      <c r="E626">
        <v>162</v>
      </c>
      <c r="F626">
        <v>146</v>
      </c>
    </row>
    <row r="627" spans="1:6">
      <c r="A627" s="111" t="s">
        <v>879</v>
      </c>
      <c r="B627" s="3" t="s">
        <v>284</v>
      </c>
      <c r="C627" s="3" t="s">
        <v>166</v>
      </c>
      <c r="D627">
        <v>205</v>
      </c>
      <c r="E627">
        <v>165</v>
      </c>
      <c r="F627">
        <v>181</v>
      </c>
    </row>
    <row r="628" spans="1:6">
      <c r="A628" s="111" t="s">
        <v>880</v>
      </c>
      <c r="B628" s="3" t="s">
        <v>284</v>
      </c>
      <c r="C628" s="3" t="s">
        <v>274</v>
      </c>
      <c r="D628">
        <v>83</v>
      </c>
      <c r="E628">
        <v>99</v>
      </c>
      <c r="F628">
        <v>102</v>
      </c>
    </row>
    <row r="629" spans="1:6">
      <c r="A629" s="111" t="s">
        <v>881</v>
      </c>
      <c r="B629" s="3" t="s">
        <v>284</v>
      </c>
      <c r="C629" s="3" t="s">
        <v>274</v>
      </c>
      <c r="D629">
        <v>100</v>
      </c>
      <c r="E629">
        <v>173</v>
      </c>
      <c r="F629">
        <v>120</v>
      </c>
    </row>
    <row r="630" spans="1:6">
      <c r="A630" s="111" t="s">
        <v>882</v>
      </c>
      <c r="B630" s="3" t="s">
        <v>284</v>
      </c>
      <c r="C630" s="3" t="s">
        <v>274</v>
      </c>
      <c r="D630">
        <v>203</v>
      </c>
      <c r="E630">
        <v>175</v>
      </c>
      <c r="F630">
        <v>155</v>
      </c>
    </row>
    <row r="631" spans="1:6">
      <c r="A631" s="111" t="s">
        <v>883</v>
      </c>
      <c r="B631" s="3" t="s">
        <v>166</v>
      </c>
      <c r="C631" s="3" t="s">
        <v>83</v>
      </c>
      <c r="D631">
        <v>71</v>
      </c>
      <c r="E631">
        <v>111</v>
      </c>
      <c r="F631">
        <v>120</v>
      </c>
    </row>
    <row r="632" spans="1:6">
      <c r="A632" s="111" t="s">
        <v>884</v>
      </c>
      <c r="B632" s="3" t="s">
        <v>166</v>
      </c>
      <c r="C632" s="3" t="s">
        <v>83</v>
      </c>
      <c r="D632">
        <v>164</v>
      </c>
      <c r="E632">
        <v>176</v>
      </c>
      <c r="F632">
        <v>155</v>
      </c>
    </row>
    <row r="633" spans="1:6">
      <c r="A633" s="111" t="s">
        <v>885</v>
      </c>
      <c r="B633" s="3" t="s">
        <v>166</v>
      </c>
      <c r="C633" s="3" t="s">
        <v>118</v>
      </c>
      <c r="D633">
        <v>119</v>
      </c>
      <c r="E633">
        <v>91</v>
      </c>
      <c r="F633">
        <v>128</v>
      </c>
    </row>
    <row r="634" spans="1:6">
      <c r="A634" s="111" t="s">
        <v>886</v>
      </c>
      <c r="B634" s="3" t="s">
        <v>166</v>
      </c>
      <c r="C634" s="3" t="s">
        <v>118</v>
      </c>
      <c r="D634">
        <v>214</v>
      </c>
      <c r="E634">
        <v>155</v>
      </c>
      <c r="F634">
        <v>172</v>
      </c>
    </row>
    <row r="635" spans="1:6">
      <c r="A635" s="111" t="s">
        <v>887</v>
      </c>
      <c r="B635" s="3" t="s">
        <v>166</v>
      </c>
      <c r="C635" s="3" t="s">
        <v>94</v>
      </c>
      <c r="D635">
        <v>208</v>
      </c>
      <c r="E635">
        <v>159</v>
      </c>
      <c r="F635">
        <v>172</v>
      </c>
    </row>
    <row r="636" spans="1:6">
      <c r="A636" s="111" t="s">
        <v>888</v>
      </c>
      <c r="B636" s="3" t="s">
        <v>172</v>
      </c>
      <c r="C636" s="3" t="s">
        <v>118</v>
      </c>
      <c r="D636">
        <v>189</v>
      </c>
      <c r="E636">
        <v>129</v>
      </c>
      <c r="F636">
        <v>172</v>
      </c>
    </row>
    <row r="637" spans="1:6">
      <c r="A637" s="111" t="s">
        <v>889</v>
      </c>
      <c r="B637" s="3" t="s">
        <v>73</v>
      </c>
      <c r="C637" s="3" t="s">
        <v>159</v>
      </c>
      <c r="D637">
        <v>132</v>
      </c>
      <c r="E637">
        <v>69</v>
      </c>
      <c r="F637">
        <v>137</v>
      </c>
    </row>
    <row r="638" spans="1:6">
      <c r="A638" s="111" t="s">
        <v>890</v>
      </c>
      <c r="B638" s="3" t="s">
        <v>73</v>
      </c>
      <c r="C638" s="3" t="s">
        <v>159</v>
      </c>
      <c r="D638">
        <v>155</v>
      </c>
      <c r="E638">
        <v>90</v>
      </c>
      <c r="F638">
        <v>155</v>
      </c>
    </row>
    <row r="639" spans="1:6">
      <c r="A639" s="111" t="s">
        <v>891</v>
      </c>
      <c r="B639" s="3" t="s">
        <v>73</v>
      </c>
      <c r="C639" s="3" t="s">
        <v>159</v>
      </c>
      <c r="D639">
        <v>229</v>
      </c>
      <c r="E639">
        <v>158</v>
      </c>
      <c r="F639">
        <v>216</v>
      </c>
    </row>
    <row r="640" spans="1:6">
      <c r="A640" s="111" t="s">
        <v>892</v>
      </c>
      <c r="B640" s="3" t="s">
        <v>100</v>
      </c>
      <c r="C640" s="3" t="s">
        <v>118</v>
      </c>
      <c r="D640">
        <v>153</v>
      </c>
      <c r="E640">
        <v>86</v>
      </c>
      <c r="F640">
        <v>172</v>
      </c>
    </row>
    <row r="641" spans="1:6">
      <c r="A641" s="111" t="s">
        <v>893</v>
      </c>
      <c r="B641" s="3" t="s">
        <v>98</v>
      </c>
      <c r="C641" s="3" t="s">
        <v>118</v>
      </c>
      <c r="D641">
        <v>153</v>
      </c>
      <c r="E641">
        <v>86</v>
      </c>
      <c r="F641">
        <v>172</v>
      </c>
    </row>
    <row r="642" spans="1:6">
      <c r="A642" s="111" t="s">
        <v>894</v>
      </c>
      <c r="B642" s="3" t="s">
        <v>98</v>
      </c>
      <c r="C642" s="3" t="s">
        <v>100</v>
      </c>
      <c r="D642">
        <v>323</v>
      </c>
      <c r="E642">
        <v>123</v>
      </c>
      <c r="F642">
        <v>233</v>
      </c>
    </row>
    <row r="643" spans="1:6">
      <c r="A643" s="111" t="s">
        <v>895</v>
      </c>
      <c r="B643" s="3" t="s">
        <v>98</v>
      </c>
      <c r="C643" s="3" t="s">
        <v>118</v>
      </c>
      <c r="D643">
        <v>263</v>
      </c>
      <c r="E643">
        <v>114</v>
      </c>
      <c r="F643">
        <v>233</v>
      </c>
    </row>
    <row r="644" spans="1:6">
      <c r="A644" s="111" t="s">
        <v>896</v>
      </c>
      <c r="B644" s="3" t="s">
        <v>100</v>
      </c>
      <c r="C644" s="3" t="s">
        <v>118</v>
      </c>
      <c r="D644">
        <v>263</v>
      </c>
      <c r="E644">
        <v>114</v>
      </c>
      <c r="F644">
        <v>233</v>
      </c>
    </row>
    <row r="645" spans="1:6">
      <c r="A645" s="111" t="s">
        <v>897</v>
      </c>
      <c r="B645" s="3" t="s">
        <v>100</v>
      </c>
      <c r="C645" s="3" t="s">
        <v>97</v>
      </c>
      <c r="D645">
        <v>243</v>
      </c>
      <c r="E645">
        <v>202</v>
      </c>
      <c r="F645">
        <v>233</v>
      </c>
    </row>
    <row r="646" spans="1:6">
      <c r="A646" s="111" t="s">
        <v>898</v>
      </c>
      <c r="B646" s="3" t="s">
        <v>166</v>
      </c>
      <c r="C646" s="3" t="s">
        <v>118</v>
      </c>
      <c r="D646">
        <v>201</v>
      </c>
      <c r="E646">
        <v>130</v>
      </c>
      <c r="F646">
        <v>181</v>
      </c>
    </row>
    <row r="647" spans="1:6">
      <c r="A647" s="111" t="s">
        <v>899</v>
      </c>
      <c r="B647" s="3" t="s">
        <v>284</v>
      </c>
      <c r="C647" s="3" t="s">
        <v>38</v>
      </c>
      <c r="D647">
        <v>118</v>
      </c>
      <c r="E647">
        <v>128</v>
      </c>
      <c r="F647">
        <v>137</v>
      </c>
    </row>
    <row r="648" spans="1:6">
      <c r="A648" s="111" t="s">
        <v>900</v>
      </c>
      <c r="B648" s="3" t="s">
        <v>284</v>
      </c>
      <c r="C648" s="3" t="s">
        <v>38</v>
      </c>
      <c r="D648">
        <v>188</v>
      </c>
      <c r="E648">
        <v>200</v>
      </c>
      <c r="F648">
        <v>172</v>
      </c>
    </row>
    <row r="649" spans="1:6">
      <c r="A649" s="111" t="s">
        <v>901</v>
      </c>
      <c r="B649" s="3" t="s">
        <v>159</v>
      </c>
      <c r="C649" s="3" t="s">
        <v>94</v>
      </c>
      <c r="D649">
        <v>132</v>
      </c>
      <c r="E649">
        <v>132</v>
      </c>
      <c r="F649">
        <v>137</v>
      </c>
    </row>
    <row r="650" spans="1:6">
      <c r="A650" s="111" t="s">
        <v>902</v>
      </c>
      <c r="B650" s="3" t="s">
        <v>159</v>
      </c>
      <c r="C650" s="3" t="s">
        <v>94</v>
      </c>
      <c r="D650">
        <v>163</v>
      </c>
      <c r="E650">
        <v>222</v>
      </c>
      <c r="F650">
        <v>163</v>
      </c>
    </row>
    <row r="651" spans="1:6">
      <c r="A651" s="111" t="s">
        <v>903</v>
      </c>
      <c r="B651" s="3" t="s">
        <v>97</v>
      </c>
      <c r="C651" s="3" t="s">
        <v>96</v>
      </c>
      <c r="D651">
        <v>204</v>
      </c>
      <c r="E651">
        <v>167</v>
      </c>
      <c r="F651">
        <v>176</v>
      </c>
    </row>
    <row r="652" spans="1:6">
      <c r="A652" s="111" t="s">
        <v>904</v>
      </c>
      <c r="B652" s="3" t="s">
        <v>266</v>
      </c>
      <c r="C652" s="3" t="s">
        <v>118</v>
      </c>
      <c r="D652">
        <v>95</v>
      </c>
      <c r="E652">
        <v>141</v>
      </c>
      <c r="F652">
        <v>116</v>
      </c>
    </row>
    <row r="653" spans="1:6">
      <c r="A653" s="111" t="s">
        <v>905</v>
      </c>
      <c r="B653" s="3" t="s">
        <v>73</v>
      </c>
      <c r="C653" s="3" t="s">
        <v>266</v>
      </c>
      <c r="D653">
        <v>95</v>
      </c>
      <c r="E653">
        <v>141</v>
      </c>
      <c r="F653">
        <v>116</v>
      </c>
    </row>
    <row r="654" spans="1:6">
      <c r="A654" s="111" t="s">
        <v>906</v>
      </c>
      <c r="B654" s="3" t="s">
        <v>266</v>
      </c>
      <c r="C654" s="3" t="s">
        <v>118</v>
      </c>
      <c r="D654">
        <v>163</v>
      </c>
      <c r="E654">
        <v>237</v>
      </c>
      <c r="F654">
        <v>151</v>
      </c>
    </row>
    <row r="655" spans="1:6">
      <c r="A655" s="111" t="s">
        <v>907</v>
      </c>
      <c r="B655" s="3" t="s">
        <v>172</v>
      </c>
      <c r="C655" s="3" t="s">
        <v>38</v>
      </c>
      <c r="D655">
        <v>134</v>
      </c>
      <c r="E655">
        <v>146</v>
      </c>
      <c r="F655">
        <v>144</v>
      </c>
    </row>
    <row r="656" spans="1:6">
      <c r="A656" s="111" t="s">
        <v>908</v>
      </c>
      <c r="B656" s="3" t="s">
        <v>172</v>
      </c>
      <c r="C656" s="3" t="s">
        <v>38</v>
      </c>
      <c r="D656">
        <v>192</v>
      </c>
      <c r="E656">
        <v>197</v>
      </c>
      <c r="F656">
        <v>179</v>
      </c>
    </row>
    <row r="657" spans="1:6">
      <c r="A657" s="111" t="s">
        <v>909</v>
      </c>
      <c r="B657" s="3" t="s">
        <v>38</v>
      </c>
      <c r="C657" s="3" t="s">
        <v>96</v>
      </c>
      <c r="D657">
        <v>213</v>
      </c>
      <c r="E657">
        <v>89</v>
      </c>
      <c r="F657">
        <v>146</v>
      </c>
    </row>
    <row r="658" spans="1:6">
      <c r="A658" s="111" t="s">
        <v>910</v>
      </c>
      <c r="B658" s="3" t="s">
        <v>38</v>
      </c>
      <c r="C658" s="3" t="s">
        <v>96</v>
      </c>
      <c r="D658">
        <v>292</v>
      </c>
      <c r="E658">
        <v>139</v>
      </c>
      <c r="F658">
        <v>181</v>
      </c>
    </row>
    <row r="659" spans="1:6">
      <c r="A659" s="111" t="s">
        <v>911</v>
      </c>
      <c r="B659" s="3" t="s">
        <v>274</v>
      </c>
      <c r="C659" s="3" t="s">
        <v>118</v>
      </c>
      <c r="D659">
        <v>96</v>
      </c>
      <c r="E659">
        <v>122</v>
      </c>
      <c r="F659">
        <v>137</v>
      </c>
    </row>
    <row r="660" spans="1:6">
      <c r="A660" s="111" t="s">
        <v>912</v>
      </c>
      <c r="B660" s="3" t="s">
        <v>274</v>
      </c>
      <c r="C660" s="3" t="s">
        <v>118</v>
      </c>
      <c r="D660">
        <v>181</v>
      </c>
      <c r="E660">
        <v>164</v>
      </c>
      <c r="F660">
        <v>190</v>
      </c>
    </row>
    <row r="661" spans="1:6">
      <c r="A661" s="111" t="s">
        <v>913</v>
      </c>
      <c r="B661" s="3" t="s">
        <v>159</v>
      </c>
      <c r="C661" s="3" t="s">
        <v>118</v>
      </c>
      <c r="D661">
        <v>153</v>
      </c>
      <c r="E661">
        <v>78</v>
      </c>
      <c r="F661">
        <v>120</v>
      </c>
    </row>
    <row r="662" spans="1:6">
      <c r="A662" s="111" t="s">
        <v>914</v>
      </c>
      <c r="B662" s="3" t="s">
        <v>169</v>
      </c>
      <c r="C662" s="3" t="s">
        <v>266</v>
      </c>
      <c r="D662">
        <v>162</v>
      </c>
      <c r="E662">
        <v>79</v>
      </c>
      <c r="F662">
        <v>111</v>
      </c>
    </row>
    <row r="663" spans="1:6">
      <c r="A663" s="111" t="s">
        <v>915</v>
      </c>
      <c r="B663" s="3" t="s">
        <v>159</v>
      </c>
      <c r="C663" s="3" t="s">
        <v>118</v>
      </c>
      <c r="D663">
        <v>250</v>
      </c>
      <c r="E663">
        <v>127</v>
      </c>
      <c r="F663">
        <v>155</v>
      </c>
    </row>
    <row r="664" spans="1:6">
      <c r="A664" s="111" t="s">
        <v>916</v>
      </c>
      <c r="B664" s="3" t="s">
        <v>169</v>
      </c>
      <c r="C664" s="3" t="s">
        <v>266</v>
      </c>
      <c r="D664">
        <v>261</v>
      </c>
      <c r="E664">
        <v>128</v>
      </c>
      <c r="F664">
        <v>146</v>
      </c>
    </row>
    <row r="665" spans="1:6">
      <c r="A665" s="111" t="s">
        <v>917</v>
      </c>
      <c r="B665" s="3" t="s">
        <v>169</v>
      </c>
      <c r="C665" s="3" t="s">
        <v>118</v>
      </c>
      <c r="D665">
        <v>98</v>
      </c>
      <c r="E665">
        <v>80</v>
      </c>
      <c r="F665">
        <v>146</v>
      </c>
    </row>
    <row r="666" spans="1:6">
      <c r="A666" s="111" t="s">
        <v>918</v>
      </c>
      <c r="B666" s="3" t="s">
        <v>169</v>
      </c>
      <c r="C666" s="3" t="s">
        <v>118</v>
      </c>
      <c r="D666">
        <v>198</v>
      </c>
      <c r="E666">
        <v>130</v>
      </c>
      <c r="F666">
        <v>181</v>
      </c>
    </row>
    <row r="667" spans="1:6">
      <c r="A667" s="111" t="s">
        <v>919</v>
      </c>
      <c r="B667" s="3" t="s">
        <v>97</v>
      </c>
      <c r="C667" s="3" t="s">
        <v>118</v>
      </c>
      <c r="D667">
        <v>98</v>
      </c>
      <c r="E667">
        <v>112</v>
      </c>
      <c r="F667">
        <v>128</v>
      </c>
    </row>
    <row r="668" spans="1:6">
      <c r="A668" s="111" t="s">
        <v>920</v>
      </c>
      <c r="B668" s="3" t="s">
        <v>97</v>
      </c>
      <c r="C668" s="3" t="s">
        <v>118</v>
      </c>
      <c r="D668">
        <v>137</v>
      </c>
      <c r="E668">
        <v>153</v>
      </c>
      <c r="F668">
        <v>155</v>
      </c>
    </row>
    <row r="669" spans="1:6">
      <c r="A669" s="111" t="s">
        <v>921</v>
      </c>
      <c r="B669" s="3" t="s">
        <v>97</v>
      </c>
      <c r="C669" s="3" t="s">
        <v>118</v>
      </c>
      <c r="D669">
        <v>176</v>
      </c>
      <c r="E669">
        <v>205</v>
      </c>
      <c r="F669">
        <v>172</v>
      </c>
    </row>
    <row r="670" spans="1:6">
      <c r="A670" s="111" t="s">
        <v>922</v>
      </c>
      <c r="B670" s="3" t="s">
        <v>97</v>
      </c>
      <c r="C670" s="3" t="s">
        <v>118</v>
      </c>
      <c r="D670">
        <v>170</v>
      </c>
      <c r="E670">
        <v>83</v>
      </c>
      <c r="F670">
        <v>128</v>
      </c>
    </row>
    <row r="671" spans="1:6">
      <c r="A671" s="111" t="s">
        <v>923</v>
      </c>
      <c r="B671" s="3" t="s">
        <v>97</v>
      </c>
      <c r="C671" s="3" t="s">
        <v>118</v>
      </c>
      <c r="D671">
        <v>208</v>
      </c>
      <c r="E671">
        <v>103</v>
      </c>
      <c r="F671">
        <v>163</v>
      </c>
    </row>
    <row r="672" spans="1:6">
      <c r="A672" s="111" t="s">
        <v>924</v>
      </c>
      <c r="B672" s="3" t="s">
        <v>97</v>
      </c>
      <c r="C672" s="3" t="s">
        <v>118</v>
      </c>
      <c r="D672">
        <v>214</v>
      </c>
      <c r="E672">
        <v>148</v>
      </c>
      <c r="F672">
        <v>242</v>
      </c>
    </row>
    <row r="673" spans="1:6">
      <c r="A673" s="111" t="s">
        <v>925</v>
      </c>
      <c r="B673" s="3" t="s">
        <v>172</v>
      </c>
      <c r="C673" s="3" t="s">
        <v>96</v>
      </c>
      <c r="D673">
        <v>84</v>
      </c>
      <c r="E673">
        <v>96</v>
      </c>
      <c r="F673">
        <v>158</v>
      </c>
    </row>
    <row r="674" spans="1:6">
      <c r="A674" s="111" t="s">
        <v>926</v>
      </c>
      <c r="B674" s="3" t="s">
        <v>172</v>
      </c>
      <c r="C674" s="3" t="s">
        <v>96</v>
      </c>
      <c r="D674">
        <v>182</v>
      </c>
      <c r="E674">
        <v>132</v>
      </c>
      <c r="F674">
        <v>181</v>
      </c>
    </row>
    <row r="675" spans="1:6">
      <c r="A675" s="111" t="s">
        <v>927</v>
      </c>
      <c r="B675" s="3" t="s">
        <v>98</v>
      </c>
      <c r="C675" s="3" t="s">
        <v>118</v>
      </c>
      <c r="D675">
        <v>118</v>
      </c>
      <c r="E675">
        <v>106</v>
      </c>
      <c r="F675">
        <v>113</v>
      </c>
    </row>
    <row r="676" spans="1:6">
      <c r="A676" s="111" t="s">
        <v>928</v>
      </c>
      <c r="B676" s="3" t="s">
        <v>98</v>
      </c>
      <c r="C676" s="3" t="s">
        <v>118</v>
      </c>
      <c r="D676">
        <v>151</v>
      </c>
      <c r="E676">
        <v>138</v>
      </c>
      <c r="F676">
        <v>139</v>
      </c>
    </row>
    <row r="677" spans="1:6">
      <c r="A677" s="111" t="s">
        <v>929</v>
      </c>
      <c r="B677" s="3" t="s">
        <v>98</v>
      </c>
      <c r="C677" s="3" t="s">
        <v>118</v>
      </c>
      <c r="D677">
        <v>218</v>
      </c>
      <c r="E677">
        <v>184</v>
      </c>
      <c r="F677">
        <v>174</v>
      </c>
    </row>
    <row r="678" spans="1:6">
      <c r="A678" s="111" t="s">
        <v>930</v>
      </c>
      <c r="B678" s="3" t="s">
        <v>169</v>
      </c>
      <c r="C678" s="3" t="s">
        <v>166</v>
      </c>
      <c r="D678">
        <v>115</v>
      </c>
      <c r="E678">
        <v>100</v>
      </c>
      <c r="F678">
        <v>155</v>
      </c>
    </row>
    <row r="679" spans="1:6">
      <c r="A679" s="111" t="s">
        <v>931</v>
      </c>
      <c r="B679" s="3" t="s">
        <v>169</v>
      </c>
      <c r="C679" s="3" t="s">
        <v>166</v>
      </c>
      <c r="D679">
        <v>198</v>
      </c>
      <c r="E679">
        <v>146</v>
      </c>
      <c r="F679">
        <v>190</v>
      </c>
    </row>
    <row r="680" spans="1:6">
      <c r="A680" s="111" t="s">
        <v>1448</v>
      </c>
      <c r="B680" s="3" t="s">
        <v>177</v>
      </c>
      <c r="C680" s="3" t="s">
        <v>96</v>
      </c>
      <c r="D680">
        <v>158</v>
      </c>
      <c r="E680">
        <v>127</v>
      </c>
      <c r="F680">
        <v>146</v>
      </c>
    </row>
    <row r="681" spans="1:6">
      <c r="A681" s="111" t="s">
        <v>932</v>
      </c>
      <c r="B681" s="3" t="s">
        <v>284</v>
      </c>
      <c r="C681" s="3" t="s">
        <v>118</v>
      </c>
      <c r="D681">
        <v>137</v>
      </c>
      <c r="E681">
        <v>87</v>
      </c>
      <c r="F681">
        <v>137</v>
      </c>
    </row>
    <row r="682" spans="1:6">
      <c r="A682" s="111" t="s">
        <v>933</v>
      </c>
      <c r="B682" s="3" t="s">
        <v>284</v>
      </c>
      <c r="C682" s="3" t="s">
        <v>306</v>
      </c>
      <c r="D682">
        <v>223</v>
      </c>
      <c r="E682">
        <v>187</v>
      </c>
      <c r="F682">
        <v>172</v>
      </c>
    </row>
    <row r="683" spans="1:6">
      <c r="A683" s="111" t="s">
        <v>934</v>
      </c>
      <c r="B683" s="3" t="s">
        <v>166</v>
      </c>
      <c r="C683" s="3" t="s">
        <v>274</v>
      </c>
      <c r="D683">
        <v>97</v>
      </c>
      <c r="E683">
        <v>91</v>
      </c>
      <c r="F683">
        <v>170</v>
      </c>
    </row>
    <row r="684" spans="1:6">
      <c r="A684" s="111" t="s">
        <v>935</v>
      </c>
      <c r="B684" s="3" t="s">
        <v>166</v>
      </c>
      <c r="C684" s="3" t="s">
        <v>274</v>
      </c>
      <c r="D684">
        <v>155</v>
      </c>
      <c r="E684">
        <v>139</v>
      </c>
      <c r="F684">
        <v>249</v>
      </c>
    </row>
    <row r="685" spans="1:6">
      <c r="A685" s="111" t="s">
        <v>936</v>
      </c>
      <c r="B685" s="3" t="s">
        <v>172</v>
      </c>
      <c r="C685" s="3" t="s">
        <v>266</v>
      </c>
      <c r="D685">
        <v>115</v>
      </c>
      <c r="E685">
        <v>134</v>
      </c>
      <c r="F685">
        <v>146</v>
      </c>
    </row>
    <row r="686" spans="1:6">
      <c r="A686" s="111" t="s">
        <v>937</v>
      </c>
      <c r="B686" s="3" t="s">
        <v>172</v>
      </c>
      <c r="C686" s="3" t="s">
        <v>266</v>
      </c>
      <c r="D686">
        <v>159</v>
      </c>
      <c r="E686">
        <v>178</v>
      </c>
      <c r="F686">
        <v>225</v>
      </c>
    </row>
    <row r="687" spans="1:6">
      <c r="A687" s="111" t="s">
        <v>938</v>
      </c>
      <c r="B687" s="3" t="s">
        <v>172</v>
      </c>
      <c r="C687" s="3" t="s">
        <v>118</v>
      </c>
      <c r="D687">
        <v>138</v>
      </c>
      <c r="E687">
        <v>131</v>
      </c>
      <c r="F687">
        <v>338</v>
      </c>
    </row>
    <row r="688" spans="1:6">
      <c r="A688" s="111" t="s">
        <v>939</v>
      </c>
      <c r="B688" s="3" t="s">
        <v>284</v>
      </c>
      <c r="C688" s="3" t="s">
        <v>177</v>
      </c>
      <c r="D688">
        <v>110</v>
      </c>
      <c r="E688">
        <v>98</v>
      </c>
      <c r="F688">
        <v>137</v>
      </c>
    </row>
    <row r="689" spans="1:6">
      <c r="A689" s="111" t="s">
        <v>940</v>
      </c>
      <c r="B689" s="3" t="s">
        <v>284</v>
      </c>
      <c r="C689" s="3" t="s">
        <v>177</v>
      </c>
      <c r="D689">
        <v>201</v>
      </c>
      <c r="E689">
        <v>128</v>
      </c>
      <c r="F689">
        <v>172</v>
      </c>
    </row>
    <row r="690" spans="1:6">
      <c r="A690" s="111" t="s">
        <v>941</v>
      </c>
      <c r="B690" s="3" t="s">
        <v>166</v>
      </c>
      <c r="C690" s="3" t="s">
        <v>306</v>
      </c>
      <c r="D690">
        <v>82</v>
      </c>
      <c r="E690">
        <v>155</v>
      </c>
      <c r="F690">
        <v>127</v>
      </c>
    </row>
    <row r="691" spans="1:6">
      <c r="A691" s="111" t="s">
        <v>942</v>
      </c>
      <c r="B691" s="3" t="s">
        <v>166</v>
      </c>
      <c r="C691" s="3" t="s">
        <v>306</v>
      </c>
      <c r="D691">
        <v>158</v>
      </c>
      <c r="E691">
        <v>223</v>
      </c>
      <c r="F691">
        <v>179</v>
      </c>
    </row>
    <row r="692" spans="1:6">
      <c r="A692" s="111" t="s">
        <v>943</v>
      </c>
      <c r="B692" s="3" t="s">
        <v>306</v>
      </c>
      <c r="C692" s="3" t="s">
        <v>118</v>
      </c>
      <c r="D692">
        <v>98</v>
      </c>
      <c r="E692">
        <v>121</v>
      </c>
      <c r="F692">
        <v>120</v>
      </c>
    </row>
    <row r="693" spans="1:6">
      <c r="A693" s="111" t="s">
        <v>944</v>
      </c>
      <c r="B693" s="3" t="s">
        <v>306</v>
      </c>
      <c r="C693" s="3" t="s">
        <v>118</v>
      </c>
      <c r="D693">
        <v>150</v>
      </c>
      <c r="E693">
        <v>174</v>
      </c>
      <c r="F693">
        <v>155</v>
      </c>
    </row>
    <row r="694" spans="1:6">
      <c r="A694" s="111" t="s">
        <v>945</v>
      </c>
      <c r="B694" s="3" t="s">
        <v>306</v>
      </c>
      <c r="C694" s="3" t="s">
        <v>118</v>
      </c>
      <c r="D694">
        <v>199</v>
      </c>
      <c r="E694">
        <v>214</v>
      </c>
      <c r="F694">
        <v>155</v>
      </c>
    </row>
    <row r="695" spans="1:6">
      <c r="A695" s="111" t="s">
        <v>946</v>
      </c>
      <c r="B695" s="3" t="s">
        <v>177</v>
      </c>
      <c r="C695" s="3" t="s">
        <v>118</v>
      </c>
      <c r="D695">
        <v>105</v>
      </c>
      <c r="E695">
        <v>78</v>
      </c>
      <c r="F695">
        <v>111</v>
      </c>
    </row>
    <row r="696" spans="1:6">
      <c r="A696" s="111" t="s">
        <v>947</v>
      </c>
      <c r="B696" s="3" t="s">
        <v>177</v>
      </c>
      <c r="C696" s="3" t="s">
        <v>118</v>
      </c>
      <c r="D696">
        <v>156</v>
      </c>
      <c r="E696">
        <v>130</v>
      </c>
      <c r="F696">
        <v>163</v>
      </c>
    </row>
    <row r="697" spans="1:6">
      <c r="A697" s="111" t="s">
        <v>948</v>
      </c>
      <c r="B697" s="3" t="s">
        <v>177</v>
      </c>
      <c r="C697" s="3" t="s">
        <v>118</v>
      </c>
      <c r="D697">
        <v>217</v>
      </c>
      <c r="E697">
        <v>152</v>
      </c>
      <c r="F697">
        <v>198</v>
      </c>
    </row>
    <row r="698" spans="1:6">
      <c r="A698" s="111" t="s">
        <v>949</v>
      </c>
      <c r="B698" s="3" t="s">
        <v>97</v>
      </c>
      <c r="C698" s="3" t="s">
        <v>118</v>
      </c>
      <c r="D698">
        <v>148</v>
      </c>
      <c r="E698">
        <v>100</v>
      </c>
      <c r="F698">
        <v>146</v>
      </c>
    </row>
    <row r="699" spans="1:6">
      <c r="A699" s="111" t="s">
        <v>950</v>
      </c>
      <c r="B699" s="3" t="s">
        <v>97</v>
      </c>
      <c r="C699" s="3" t="s">
        <v>118</v>
      </c>
      <c r="D699">
        <v>221</v>
      </c>
      <c r="E699">
        <v>163</v>
      </c>
      <c r="F699">
        <v>181</v>
      </c>
    </row>
    <row r="700" spans="1:6">
      <c r="A700" s="111" t="s">
        <v>951</v>
      </c>
      <c r="B700" s="3" t="s">
        <v>266</v>
      </c>
      <c r="C700" s="3" t="s">
        <v>100</v>
      </c>
      <c r="D700">
        <v>108</v>
      </c>
      <c r="E700">
        <v>98</v>
      </c>
      <c r="F700">
        <v>137</v>
      </c>
    </row>
    <row r="701" spans="1:6">
      <c r="A701" s="111" t="s">
        <v>952</v>
      </c>
      <c r="B701" s="3" t="s">
        <v>266</v>
      </c>
      <c r="C701" s="3" t="s">
        <v>100</v>
      </c>
      <c r="D701">
        <v>169</v>
      </c>
      <c r="E701">
        <v>115</v>
      </c>
      <c r="F701">
        <v>155</v>
      </c>
    </row>
    <row r="702" spans="1:6">
      <c r="A702" s="111" t="s">
        <v>953</v>
      </c>
      <c r="B702" s="3" t="s">
        <v>266</v>
      </c>
      <c r="C702" s="3" t="s">
        <v>100</v>
      </c>
      <c r="D702">
        <v>271</v>
      </c>
      <c r="E702">
        <v>182</v>
      </c>
      <c r="F702">
        <v>155</v>
      </c>
    </row>
    <row r="703" spans="1:6">
      <c r="A703" s="111" t="s">
        <v>954</v>
      </c>
      <c r="B703" s="3" t="s">
        <v>44</v>
      </c>
      <c r="C703" s="3" t="s">
        <v>118</v>
      </c>
      <c r="D703">
        <v>154</v>
      </c>
      <c r="E703">
        <v>101</v>
      </c>
      <c r="F703">
        <v>130</v>
      </c>
    </row>
    <row r="704" spans="1:6">
      <c r="A704" s="111" t="s">
        <v>955</v>
      </c>
      <c r="B704" s="3" t="s">
        <v>44</v>
      </c>
      <c r="C704" s="3" t="s">
        <v>118</v>
      </c>
      <c r="D704">
        <v>212</v>
      </c>
      <c r="E704">
        <v>123</v>
      </c>
      <c r="F704">
        <v>165</v>
      </c>
    </row>
    <row r="705" spans="1:6">
      <c r="A705" s="111" t="s">
        <v>956</v>
      </c>
      <c r="B705" s="3" t="s">
        <v>44</v>
      </c>
      <c r="C705" s="3" t="s">
        <v>118</v>
      </c>
      <c r="D705">
        <v>284</v>
      </c>
      <c r="E705">
        <v>172</v>
      </c>
      <c r="F705">
        <v>183</v>
      </c>
    </row>
    <row r="706" spans="1:6">
      <c r="A706" s="111" t="s">
        <v>957</v>
      </c>
      <c r="B706" s="3" t="s">
        <v>98</v>
      </c>
      <c r="C706" s="3" t="s">
        <v>118</v>
      </c>
      <c r="D706">
        <v>128</v>
      </c>
      <c r="E706">
        <v>74</v>
      </c>
      <c r="F706">
        <v>146</v>
      </c>
    </row>
    <row r="707" spans="1:6">
      <c r="A707" s="111" t="s">
        <v>958</v>
      </c>
      <c r="B707" s="3" t="s">
        <v>98</v>
      </c>
      <c r="C707" s="3" t="s">
        <v>118</v>
      </c>
      <c r="D707">
        <v>233</v>
      </c>
      <c r="E707">
        <v>152</v>
      </c>
      <c r="F707">
        <v>216</v>
      </c>
    </row>
    <row r="708" spans="1:6">
      <c r="A708" s="111" t="s">
        <v>959</v>
      </c>
      <c r="B708" s="3" t="s">
        <v>98</v>
      </c>
      <c r="C708" s="3" t="s">
        <v>118</v>
      </c>
      <c r="D708">
        <v>190</v>
      </c>
      <c r="E708">
        <v>218</v>
      </c>
      <c r="F708">
        <v>190</v>
      </c>
    </row>
    <row r="709" spans="1:6">
      <c r="A709" s="111" t="s">
        <v>960</v>
      </c>
      <c r="B709" s="3" t="s">
        <v>284</v>
      </c>
      <c r="C709" s="3" t="s">
        <v>118</v>
      </c>
      <c r="D709">
        <v>72</v>
      </c>
      <c r="E709">
        <v>140</v>
      </c>
      <c r="F709">
        <v>137</v>
      </c>
    </row>
    <row r="710" spans="1:6">
      <c r="A710" s="111" t="s">
        <v>961</v>
      </c>
      <c r="B710" s="3" t="s">
        <v>284</v>
      </c>
      <c r="C710" s="3" t="s">
        <v>118</v>
      </c>
      <c r="D710">
        <v>220</v>
      </c>
      <c r="E710">
        <v>120</v>
      </c>
      <c r="F710">
        <v>190</v>
      </c>
    </row>
    <row r="711" spans="1:6">
      <c r="A711" s="111" t="s">
        <v>962</v>
      </c>
      <c r="B711" s="3" t="s">
        <v>73</v>
      </c>
      <c r="C711" s="3" t="s">
        <v>177</v>
      </c>
      <c r="D711">
        <v>144</v>
      </c>
      <c r="E711">
        <v>171</v>
      </c>
      <c r="F711">
        <v>240</v>
      </c>
    </row>
    <row r="712" spans="1:6">
      <c r="A712" s="111" t="s">
        <v>963</v>
      </c>
      <c r="B712" s="3" t="s">
        <v>73</v>
      </c>
      <c r="C712" s="3" t="s">
        <v>306</v>
      </c>
      <c r="D712">
        <v>144</v>
      </c>
      <c r="E712">
        <v>171</v>
      </c>
      <c r="F712">
        <v>240</v>
      </c>
    </row>
    <row r="713" spans="1:6">
      <c r="A713" s="111" t="s">
        <v>964</v>
      </c>
      <c r="B713" s="3" t="s">
        <v>94</v>
      </c>
      <c r="C713" s="3" t="s">
        <v>118</v>
      </c>
      <c r="D713">
        <v>160</v>
      </c>
      <c r="E713">
        <v>98</v>
      </c>
      <c r="F713">
        <v>128</v>
      </c>
    </row>
    <row r="714" spans="1:6">
      <c r="A714" s="111" t="s">
        <v>965</v>
      </c>
      <c r="B714" s="3" t="s">
        <v>94</v>
      </c>
      <c r="C714" s="3" t="s">
        <v>118</v>
      </c>
      <c r="D714">
        <v>258</v>
      </c>
      <c r="E714">
        <v>127</v>
      </c>
      <c r="F714">
        <v>163</v>
      </c>
    </row>
    <row r="715" spans="1:6">
      <c r="A715" s="111" t="s">
        <v>966</v>
      </c>
      <c r="B715" s="3" t="s">
        <v>44</v>
      </c>
      <c r="C715" s="3" t="s">
        <v>118</v>
      </c>
      <c r="D715">
        <v>213</v>
      </c>
      <c r="E715">
        <v>170</v>
      </c>
      <c r="F715">
        <v>184</v>
      </c>
    </row>
    <row r="716" spans="1:6">
      <c r="A716" s="111" t="s">
        <v>967</v>
      </c>
      <c r="B716" s="3" t="s">
        <v>73</v>
      </c>
      <c r="C716" s="3" t="s">
        <v>266</v>
      </c>
      <c r="D716">
        <v>127</v>
      </c>
      <c r="E716">
        <v>92</v>
      </c>
      <c r="F716">
        <v>153</v>
      </c>
    </row>
    <row r="717" spans="1:6">
      <c r="A717" s="111" t="s">
        <v>968</v>
      </c>
      <c r="B717" s="3" t="s">
        <v>73</v>
      </c>
      <c r="C717" s="3" t="s">
        <v>266</v>
      </c>
      <c r="D717">
        <v>222</v>
      </c>
      <c r="E717">
        <v>154</v>
      </c>
      <c r="F717">
        <v>205</v>
      </c>
    </row>
    <row r="718" spans="1:6">
      <c r="A718" s="111" t="s">
        <v>969</v>
      </c>
      <c r="B718" s="3" t="s">
        <v>159</v>
      </c>
      <c r="C718" s="3" t="s">
        <v>306</v>
      </c>
      <c r="D718">
        <v>154</v>
      </c>
      <c r="E718">
        <v>114</v>
      </c>
      <c r="F718">
        <v>128</v>
      </c>
    </row>
    <row r="719" spans="1:6">
      <c r="A719" s="111" t="s">
        <v>970</v>
      </c>
      <c r="B719" s="3" t="s">
        <v>159</v>
      </c>
      <c r="C719" s="3" t="s">
        <v>306</v>
      </c>
      <c r="D719">
        <v>232</v>
      </c>
      <c r="E719">
        <v>176</v>
      </c>
      <c r="F719">
        <v>163</v>
      </c>
    </row>
    <row r="720" spans="1:6">
      <c r="A720" s="111" t="s">
        <v>971</v>
      </c>
      <c r="B720" s="3" t="s">
        <v>169</v>
      </c>
      <c r="C720" s="3" t="s">
        <v>118</v>
      </c>
      <c r="D720">
        <v>195</v>
      </c>
      <c r="E720">
        <v>182</v>
      </c>
      <c r="F720">
        <v>216</v>
      </c>
    </row>
    <row r="721" spans="1:6">
      <c r="A721" s="111" t="s">
        <v>972</v>
      </c>
      <c r="B721" s="3" t="s">
        <v>169</v>
      </c>
      <c r="C721" s="3" t="s">
        <v>96</v>
      </c>
      <c r="D721">
        <v>150</v>
      </c>
      <c r="E721">
        <v>97</v>
      </c>
      <c r="F721">
        <v>172</v>
      </c>
    </row>
    <row r="722" spans="1:6">
      <c r="A722" s="111" t="s">
        <v>973</v>
      </c>
      <c r="B722" s="3" t="s">
        <v>169</v>
      </c>
      <c r="C722" s="3" t="s">
        <v>96</v>
      </c>
      <c r="D722">
        <v>232</v>
      </c>
      <c r="E722">
        <v>152</v>
      </c>
      <c r="F722">
        <v>225</v>
      </c>
    </row>
    <row r="723" spans="1:6">
      <c r="A723" s="111" t="s">
        <v>974</v>
      </c>
      <c r="B723" s="3" t="s">
        <v>97</v>
      </c>
      <c r="C723" s="3" t="s">
        <v>96</v>
      </c>
      <c r="D723">
        <v>213</v>
      </c>
      <c r="E723">
        <v>137</v>
      </c>
      <c r="F723">
        <v>242</v>
      </c>
    </row>
    <row r="724" spans="1:6">
      <c r="A724" s="111" t="s">
        <v>975</v>
      </c>
      <c r="B724" s="3" t="s">
        <v>159</v>
      </c>
      <c r="C724" s="3" t="s">
        <v>96</v>
      </c>
      <c r="D724">
        <v>105</v>
      </c>
      <c r="E724">
        <v>139</v>
      </c>
      <c r="F724">
        <v>172</v>
      </c>
    </row>
    <row r="725" spans="1:6">
      <c r="A725" s="111" t="s">
        <v>976</v>
      </c>
      <c r="B725" s="3" t="s">
        <v>159</v>
      </c>
      <c r="C725" s="3" t="s">
        <v>96</v>
      </c>
      <c r="D725">
        <v>129</v>
      </c>
      <c r="E725">
        <v>205</v>
      </c>
      <c r="F725">
        <v>242</v>
      </c>
    </row>
    <row r="726" spans="1:6">
      <c r="A726" s="111" t="s">
        <v>977</v>
      </c>
      <c r="B726" s="3" t="s">
        <v>100</v>
      </c>
      <c r="C726" s="3" t="s">
        <v>118</v>
      </c>
      <c r="D726">
        <v>204</v>
      </c>
      <c r="E726">
        <v>129</v>
      </c>
      <c r="F726">
        <v>198</v>
      </c>
    </row>
    <row r="727" spans="1:6">
      <c r="A727" s="111" t="s">
        <v>978</v>
      </c>
      <c r="B727" s="3" t="s">
        <v>284</v>
      </c>
      <c r="C727" s="3" t="s">
        <v>306</v>
      </c>
      <c r="D727">
        <v>217</v>
      </c>
      <c r="E727">
        <v>188</v>
      </c>
      <c r="F727">
        <v>151</v>
      </c>
    </row>
    <row r="728" spans="1:6">
      <c r="A728" s="111" t="s">
        <v>979</v>
      </c>
      <c r="B728" s="3" t="s">
        <v>159</v>
      </c>
      <c r="C728" s="3" t="s">
        <v>44</v>
      </c>
      <c r="D728">
        <v>116</v>
      </c>
      <c r="E728">
        <v>93</v>
      </c>
      <c r="F728">
        <v>141</v>
      </c>
    </row>
    <row r="729" spans="1:6">
      <c r="A729" s="111" t="s">
        <v>980</v>
      </c>
      <c r="B729" s="3" t="s">
        <v>159</v>
      </c>
      <c r="C729" s="3" t="s">
        <v>44</v>
      </c>
      <c r="D729">
        <v>159</v>
      </c>
      <c r="E729">
        <v>135</v>
      </c>
      <c r="F729">
        <v>176</v>
      </c>
    </row>
    <row r="730" spans="1:6">
      <c r="A730" s="111" t="s">
        <v>981</v>
      </c>
      <c r="B730" s="3" t="s">
        <v>159</v>
      </c>
      <c r="C730" s="3" t="s">
        <v>44</v>
      </c>
      <c r="D730">
        <v>256</v>
      </c>
      <c r="E730">
        <v>188</v>
      </c>
      <c r="F730">
        <v>211</v>
      </c>
    </row>
    <row r="731" spans="1:6">
      <c r="A731" s="111" t="s">
        <v>982</v>
      </c>
      <c r="B731" s="3" t="s">
        <v>284</v>
      </c>
      <c r="C731" s="3" t="s">
        <v>100</v>
      </c>
      <c r="D731">
        <v>156</v>
      </c>
      <c r="E731">
        <v>107</v>
      </c>
      <c r="F731">
        <v>146</v>
      </c>
    </row>
    <row r="732" spans="1:6">
      <c r="A732" s="111" t="s">
        <v>983</v>
      </c>
      <c r="B732" s="3" t="s">
        <v>284</v>
      </c>
      <c r="C732" s="3" t="s">
        <v>100</v>
      </c>
      <c r="D732">
        <v>264</v>
      </c>
      <c r="E732">
        <v>189</v>
      </c>
      <c r="F732">
        <v>198</v>
      </c>
    </row>
    <row r="733" spans="1:6">
      <c r="A733" s="111" t="s">
        <v>984</v>
      </c>
      <c r="B733" s="3" t="s">
        <v>306</v>
      </c>
      <c r="C733" s="3" t="s">
        <v>94</v>
      </c>
      <c r="D733">
        <v>192</v>
      </c>
      <c r="E733">
        <v>229</v>
      </c>
      <c r="F733">
        <v>209</v>
      </c>
    </row>
    <row r="734" spans="1:6">
      <c r="A734" s="111" t="s">
        <v>985</v>
      </c>
      <c r="B734" s="3" t="s">
        <v>38</v>
      </c>
      <c r="C734" s="3" t="s">
        <v>94</v>
      </c>
      <c r="D734">
        <v>260</v>
      </c>
      <c r="E734">
        <v>192</v>
      </c>
      <c r="F734">
        <v>209</v>
      </c>
    </row>
    <row r="735" spans="1:6">
      <c r="A735" s="111" t="s">
        <v>986</v>
      </c>
      <c r="B735" s="3" t="s">
        <v>166</v>
      </c>
      <c r="C735" s="3" t="s">
        <v>94</v>
      </c>
      <c r="D735">
        <v>192</v>
      </c>
      <c r="E735">
        <v>229</v>
      </c>
      <c r="F735">
        <v>209</v>
      </c>
    </row>
    <row r="736" spans="1:6">
      <c r="A736" s="111" t="s">
        <v>987</v>
      </c>
      <c r="B736" s="3" t="s">
        <v>96</v>
      </c>
      <c r="C736" s="3" t="s">
        <v>118</v>
      </c>
      <c r="D736">
        <v>266</v>
      </c>
      <c r="E736">
        <v>164</v>
      </c>
      <c r="F736">
        <v>188</v>
      </c>
    </row>
    <row r="737" spans="1:6">
      <c r="A737" s="111" t="s">
        <v>988</v>
      </c>
      <c r="B737" s="3" t="s">
        <v>96</v>
      </c>
      <c r="C737" s="3" t="s">
        <v>118</v>
      </c>
      <c r="D737">
        <v>238</v>
      </c>
      <c r="E737">
        <v>189</v>
      </c>
      <c r="F737">
        <v>188</v>
      </c>
    </row>
    <row r="738" spans="1:6">
      <c r="A738" s="111" t="s">
        <v>989</v>
      </c>
      <c r="B738" s="3" t="s">
        <v>177</v>
      </c>
      <c r="C738" s="3" t="s">
        <v>96</v>
      </c>
      <c r="D738">
        <v>266</v>
      </c>
      <c r="E738">
        <v>164</v>
      </c>
      <c r="F738">
        <v>188</v>
      </c>
    </row>
    <row r="739" spans="1:6">
      <c r="A739" s="111" t="s">
        <v>990</v>
      </c>
      <c r="B739" s="3" t="s">
        <v>177</v>
      </c>
      <c r="C739" s="3" t="s">
        <v>96</v>
      </c>
      <c r="D739">
        <v>295</v>
      </c>
      <c r="E739">
        <v>161</v>
      </c>
      <c r="F739">
        <v>188</v>
      </c>
    </row>
    <row r="740" spans="1:6">
      <c r="A740" s="111" t="s">
        <v>991</v>
      </c>
      <c r="B740" s="3" t="s">
        <v>44</v>
      </c>
      <c r="C740" s="3" t="s">
        <v>100</v>
      </c>
      <c r="D740">
        <v>275</v>
      </c>
      <c r="E740">
        <v>211</v>
      </c>
      <c r="F740">
        <v>205</v>
      </c>
    </row>
    <row r="741" spans="1:6">
      <c r="A741" s="111" t="s">
        <v>992</v>
      </c>
      <c r="B741" s="3" t="s">
        <v>44</v>
      </c>
      <c r="C741" s="3" t="s">
        <v>177</v>
      </c>
      <c r="D741">
        <v>275</v>
      </c>
      <c r="E741">
        <v>211</v>
      </c>
      <c r="F741">
        <v>205</v>
      </c>
    </row>
    <row r="742" spans="1:6">
      <c r="A742" s="111" t="s">
        <v>993</v>
      </c>
      <c r="B742" s="3" t="s">
        <v>73</v>
      </c>
      <c r="C742" s="3" t="s">
        <v>96</v>
      </c>
      <c r="D742">
        <v>261</v>
      </c>
      <c r="E742">
        <v>182</v>
      </c>
      <c r="F742">
        <v>205</v>
      </c>
    </row>
    <row r="743" spans="1:6">
      <c r="A743" s="111" t="s">
        <v>994</v>
      </c>
      <c r="B743" s="3" t="s">
        <v>73</v>
      </c>
      <c r="C743" s="3" t="s">
        <v>96</v>
      </c>
      <c r="D743">
        <v>289</v>
      </c>
      <c r="E743">
        <v>179</v>
      </c>
      <c r="F743">
        <v>205</v>
      </c>
    </row>
    <row r="744" spans="1:6">
      <c r="A744" s="111" t="s">
        <v>995</v>
      </c>
      <c r="B744" s="3" t="s">
        <v>44</v>
      </c>
      <c r="C744" s="3" t="s">
        <v>98</v>
      </c>
      <c r="D744">
        <v>246</v>
      </c>
      <c r="E744">
        <v>170</v>
      </c>
      <c r="F744">
        <v>245</v>
      </c>
    </row>
    <row r="745" spans="1:6">
      <c r="A745" s="111" t="s">
        <v>996</v>
      </c>
      <c r="B745" s="3" t="s">
        <v>44</v>
      </c>
      <c r="C745" s="3" t="s">
        <v>98</v>
      </c>
      <c r="D745">
        <v>310</v>
      </c>
      <c r="E745">
        <v>183</v>
      </c>
      <c r="F745">
        <v>245</v>
      </c>
    </row>
    <row r="746" spans="1:6">
      <c r="A746" s="111" t="s">
        <v>997</v>
      </c>
      <c r="B746" s="3" t="s">
        <v>44</v>
      </c>
      <c r="C746" s="3" t="s">
        <v>98</v>
      </c>
      <c r="D746">
        <v>310</v>
      </c>
      <c r="E746">
        <v>183</v>
      </c>
      <c r="F746">
        <v>245</v>
      </c>
    </row>
    <row r="747" spans="1:6">
      <c r="A747" s="111" t="s">
        <v>998</v>
      </c>
      <c r="B747" s="3" t="s">
        <v>172</v>
      </c>
      <c r="C747" s="3" t="s">
        <v>94</v>
      </c>
      <c r="D747">
        <v>260</v>
      </c>
      <c r="E747">
        <v>192</v>
      </c>
      <c r="F747">
        <v>209</v>
      </c>
    </row>
    <row r="748" spans="1:6">
      <c r="A748" s="111" t="s">
        <v>999</v>
      </c>
      <c r="B748" s="3" t="s">
        <v>172</v>
      </c>
      <c r="C748" s="3" t="s">
        <v>94</v>
      </c>
      <c r="D748">
        <v>260</v>
      </c>
      <c r="E748">
        <v>192</v>
      </c>
      <c r="F748">
        <v>209</v>
      </c>
    </row>
    <row r="749" spans="1:6">
      <c r="A749" s="111" t="s">
        <v>1000</v>
      </c>
      <c r="B749" s="3" t="s">
        <v>169</v>
      </c>
      <c r="C749" s="3" t="s">
        <v>97</v>
      </c>
      <c r="D749">
        <v>250</v>
      </c>
      <c r="E749">
        <v>225</v>
      </c>
      <c r="F749">
        <v>225</v>
      </c>
    </row>
    <row r="750" spans="1:6">
      <c r="A750" s="111" t="s">
        <v>1001</v>
      </c>
      <c r="B750" s="3" t="s">
        <v>169</v>
      </c>
      <c r="C750" s="3" t="s">
        <v>94</v>
      </c>
      <c r="D750">
        <v>269</v>
      </c>
      <c r="E750">
        <v>188</v>
      </c>
      <c r="F750">
        <v>225</v>
      </c>
    </row>
    <row r="751" spans="1:6">
      <c r="A751" s="111" t="s">
        <v>1002</v>
      </c>
      <c r="B751" s="3" t="s">
        <v>284</v>
      </c>
      <c r="C751" s="3" t="s">
        <v>306</v>
      </c>
      <c r="D751">
        <v>252</v>
      </c>
      <c r="E751">
        <v>199</v>
      </c>
      <c r="F751">
        <v>174</v>
      </c>
    </row>
    <row r="752" spans="1:6">
      <c r="A752" s="111" t="s">
        <v>1003</v>
      </c>
      <c r="B752" s="3" t="s">
        <v>284</v>
      </c>
      <c r="C752" s="3" t="s">
        <v>306</v>
      </c>
      <c r="D752">
        <v>252</v>
      </c>
      <c r="E752">
        <v>199</v>
      </c>
      <c r="F752">
        <v>174</v>
      </c>
    </row>
    <row r="753" spans="1:6">
      <c r="A753" s="111" t="s">
        <v>1004</v>
      </c>
      <c r="B753" s="3" t="s">
        <v>284</v>
      </c>
      <c r="C753" s="3" t="s">
        <v>306</v>
      </c>
      <c r="D753">
        <v>252</v>
      </c>
      <c r="E753">
        <v>199</v>
      </c>
      <c r="F753">
        <v>174</v>
      </c>
    </row>
    <row r="754" spans="1:6">
      <c r="A754" s="111" t="s">
        <v>1005</v>
      </c>
      <c r="B754" s="3" t="s">
        <v>284</v>
      </c>
      <c r="C754" s="3" t="s">
        <v>306</v>
      </c>
      <c r="D754">
        <v>252</v>
      </c>
      <c r="E754">
        <v>199</v>
      </c>
      <c r="F754">
        <v>174</v>
      </c>
    </row>
    <row r="755" spans="1:6">
      <c r="A755" s="111" t="s">
        <v>1006</v>
      </c>
      <c r="B755" s="3" t="s">
        <v>284</v>
      </c>
      <c r="C755" s="3" t="s">
        <v>306</v>
      </c>
      <c r="D755">
        <v>252</v>
      </c>
      <c r="E755">
        <v>199</v>
      </c>
      <c r="F755">
        <v>174</v>
      </c>
    </row>
    <row r="756" spans="1:6">
      <c r="A756" s="111" t="s">
        <v>1007</v>
      </c>
      <c r="B756" s="3" t="s">
        <v>166</v>
      </c>
      <c r="C756" s="3" t="s">
        <v>118</v>
      </c>
      <c r="D756">
        <v>110</v>
      </c>
      <c r="E756">
        <v>106</v>
      </c>
      <c r="F756">
        <v>148</v>
      </c>
    </row>
    <row r="757" spans="1:6">
      <c r="A757" s="111" t="s">
        <v>1008</v>
      </c>
      <c r="B757" s="3" t="s">
        <v>166</v>
      </c>
      <c r="C757" s="3" t="s">
        <v>118</v>
      </c>
      <c r="D757">
        <v>146</v>
      </c>
      <c r="E757">
        <v>156</v>
      </c>
      <c r="F757">
        <v>156</v>
      </c>
    </row>
    <row r="758" spans="1:6">
      <c r="A758" s="111" t="s">
        <v>1009</v>
      </c>
      <c r="B758" s="3" t="s">
        <v>166</v>
      </c>
      <c r="C758" s="3" t="s">
        <v>94</v>
      </c>
      <c r="D758">
        <v>201</v>
      </c>
      <c r="E758">
        <v>204</v>
      </c>
      <c r="F758">
        <v>204</v>
      </c>
    </row>
    <row r="759" spans="1:6">
      <c r="A759" s="111" t="s">
        <v>1010</v>
      </c>
      <c r="B759" s="3" t="s">
        <v>100</v>
      </c>
      <c r="C759" s="3" t="s">
        <v>118</v>
      </c>
      <c r="D759">
        <v>116</v>
      </c>
      <c r="E759">
        <v>102</v>
      </c>
      <c r="F759">
        <v>120</v>
      </c>
    </row>
    <row r="760" spans="1:6">
      <c r="A760" s="111" t="s">
        <v>1011</v>
      </c>
      <c r="B760" s="3" t="s">
        <v>100</v>
      </c>
      <c r="C760" s="3" t="s">
        <v>118</v>
      </c>
      <c r="D760">
        <v>171</v>
      </c>
      <c r="E760">
        <v>130</v>
      </c>
      <c r="F760">
        <v>153</v>
      </c>
    </row>
    <row r="761" spans="1:6">
      <c r="A761" s="111" t="s">
        <v>1012</v>
      </c>
      <c r="B761" s="3" t="s">
        <v>100</v>
      </c>
      <c r="C761" s="3" t="s">
        <v>97</v>
      </c>
      <c r="D761">
        <v>230</v>
      </c>
      <c r="E761">
        <v>189</v>
      </c>
      <c r="F761">
        <v>181</v>
      </c>
    </row>
    <row r="762" spans="1:6">
      <c r="A762" s="111" t="s">
        <v>1013</v>
      </c>
      <c r="B762" s="3" t="s">
        <v>172</v>
      </c>
      <c r="C762" s="3" t="s">
        <v>118</v>
      </c>
      <c r="D762">
        <v>122</v>
      </c>
      <c r="E762">
        <v>84</v>
      </c>
      <c r="F762">
        <v>121</v>
      </c>
    </row>
    <row r="763" spans="1:6">
      <c r="A763" s="111" t="s">
        <v>1014</v>
      </c>
      <c r="B763" s="3" t="s">
        <v>172</v>
      </c>
      <c r="C763" s="3" t="s">
        <v>118</v>
      </c>
      <c r="D763">
        <v>168</v>
      </c>
      <c r="E763">
        <v>114</v>
      </c>
      <c r="F763">
        <v>144</v>
      </c>
    </row>
    <row r="764" spans="1:6">
      <c r="A764" s="111" t="s">
        <v>1015</v>
      </c>
      <c r="B764" s="3" t="s">
        <v>172</v>
      </c>
      <c r="C764" s="3" t="s">
        <v>159</v>
      </c>
      <c r="D764">
        <v>223</v>
      </c>
      <c r="E764">
        <v>152</v>
      </c>
      <c r="F764">
        <v>176</v>
      </c>
    </row>
    <row r="765" spans="1:6">
      <c r="A765" s="111" t="s">
        <v>1016</v>
      </c>
      <c r="B765" s="3" t="s">
        <v>169</v>
      </c>
      <c r="C765" s="3" t="s">
        <v>118</v>
      </c>
      <c r="D765">
        <v>68</v>
      </c>
      <c r="E765">
        <v>72</v>
      </c>
      <c r="F765">
        <v>116</v>
      </c>
    </row>
    <row r="766" spans="1:6">
      <c r="A766" s="111" t="s">
        <v>1017</v>
      </c>
      <c r="B766" s="3" t="s">
        <v>169</v>
      </c>
      <c r="C766" s="3" t="s">
        <v>73</v>
      </c>
      <c r="D766">
        <v>112</v>
      </c>
      <c r="E766">
        <v>155</v>
      </c>
      <c r="F766">
        <v>198</v>
      </c>
    </row>
    <row r="767" spans="1:6">
      <c r="A767" s="111" t="s">
        <v>1018</v>
      </c>
      <c r="B767" s="3" t="s">
        <v>169</v>
      </c>
      <c r="C767" s="3" t="s">
        <v>96</v>
      </c>
      <c r="D767">
        <v>95</v>
      </c>
      <c r="E767">
        <v>80</v>
      </c>
      <c r="F767">
        <v>128</v>
      </c>
    </row>
    <row r="768" spans="1:6">
      <c r="A768" s="111" t="s">
        <v>1019</v>
      </c>
      <c r="B768" s="3" t="s">
        <v>100</v>
      </c>
      <c r="C768" s="3" t="s">
        <v>96</v>
      </c>
      <c r="D768">
        <v>145</v>
      </c>
      <c r="E768">
        <v>110</v>
      </c>
      <c r="F768">
        <v>158</v>
      </c>
    </row>
    <row r="769" spans="1:6">
      <c r="A769" s="111" t="s">
        <v>1020</v>
      </c>
      <c r="B769" s="3" t="s">
        <v>100</v>
      </c>
      <c r="C769" s="3" t="s">
        <v>96</v>
      </c>
      <c r="D769">
        <v>176</v>
      </c>
      <c r="E769">
        <v>155</v>
      </c>
      <c r="F769">
        <v>186</v>
      </c>
    </row>
    <row r="770" spans="1:6">
      <c r="A770" s="111" t="s">
        <v>1021</v>
      </c>
      <c r="B770" s="3" t="s">
        <v>284</v>
      </c>
      <c r="C770" s="3" t="s">
        <v>118</v>
      </c>
      <c r="D770">
        <v>63</v>
      </c>
      <c r="E770">
        <v>63</v>
      </c>
      <c r="F770">
        <v>116</v>
      </c>
    </row>
    <row r="771" spans="1:6">
      <c r="A771" s="111" t="s">
        <v>1022</v>
      </c>
      <c r="B771" s="3" t="s">
        <v>284</v>
      </c>
      <c r="C771" s="3" t="s">
        <v>118</v>
      </c>
      <c r="D771">
        <v>48</v>
      </c>
      <c r="E771">
        <v>89</v>
      </c>
      <c r="F771">
        <v>128</v>
      </c>
    </row>
    <row r="772" spans="1:6">
      <c r="A772" s="111" t="s">
        <v>1023</v>
      </c>
      <c r="B772" s="3" t="s">
        <v>284</v>
      </c>
      <c r="C772" s="3" t="s">
        <v>96</v>
      </c>
      <c r="D772">
        <v>176</v>
      </c>
      <c r="E772">
        <v>103</v>
      </c>
      <c r="F772">
        <v>190</v>
      </c>
    </row>
    <row r="773" spans="1:6">
      <c r="A773" s="111" t="s">
        <v>1024</v>
      </c>
      <c r="B773" s="3" t="s">
        <v>100</v>
      </c>
      <c r="C773" s="3" t="s">
        <v>169</v>
      </c>
      <c r="D773">
        <v>139</v>
      </c>
      <c r="E773">
        <v>112</v>
      </c>
      <c r="F773">
        <v>158</v>
      </c>
    </row>
    <row r="774" spans="1:6">
      <c r="A774" s="111" t="s">
        <v>1025</v>
      </c>
      <c r="B774" s="3" t="s">
        <v>100</v>
      </c>
      <c r="C774" s="3" t="s">
        <v>169</v>
      </c>
      <c r="D774">
        <v>221</v>
      </c>
      <c r="E774">
        <v>149</v>
      </c>
      <c r="F774">
        <v>200</v>
      </c>
    </row>
    <row r="775" spans="1:6">
      <c r="A775" s="111" t="s">
        <v>1026</v>
      </c>
      <c r="B775" s="3" t="s">
        <v>83</v>
      </c>
      <c r="C775" s="3" t="s">
        <v>118</v>
      </c>
      <c r="D775">
        <v>108</v>
      </c>
      <c r="E775">
        <v>120</v>
      </c>
      <c r="F775">
        <v>127</v>
      </c>
    </row>
    <row r="776" spans="1:6">
      <c r="A776" s="111" t="s">
        <v>1027</v>
      </c>
      <c r="B776" s="3" t="s">
        <v>83</v>
      </c>
      <c r="C776" s="3" t="s">
        <v>118</v>
      </c>
      <c r="D776">
        <v>136</v>
      </c>
      <c r="E776">
        <v>151</v>
      </c>
      <c r="F776">
        <v>144</v>
      </c>
    </row>
    <row r="777" spans="1:6">
      <c r="A777" s="111" t="s">
        <v>1028</v>
      </c>
      <c r="B777" s="3" t="s">
        <v>83</v>
      </c>
      <c r="C777" s="3" t="s">
        <v>118</v>
      </c>
      <c r="D777">
        <v>212</v>
      </c>
      <c r="E777">
        <v>244</v>
      </c>
      <c r="F777">
        <v>186</v>
      </c>
    </row>
    <row r="778" spans="1:6">
      <c r="A778" s="111" t="s">
        <v>1029</v>
      </c>
      <c r="B778" s="3" t="s">
        <v>166</v>
      </c>
      <c r="C778" s="3" t="s">
        <v>118</v>
      </c>
      <c r="D778">
        <v>123</v>
      </c>
      <c r="E778">
        <v>102</v>
      </c>
      <c r="F778">
        <v>165</v>
      </c>
    </row>
    <row r="779" spans="1:6">
      <c r="A779" s="111" t="s">
        <v>1030</v>
      </c>
      <c r="B779" s="3" t="s">
        <v>166</v>
      </c>
      <c r="C779" s="3" t="s">
        <v>118</v>
      </c>
      <c r="D779">
        <v>196</v>
      </c>
      <c r="E779">
        <v>146</v>
      </c>
      <c r="F779">
        <v>265</v>
      </c>
    </row>
    <row r="780" spans="1:6">
      <c r="A780" s="111" t="s">
        <v>1031</v>
      </c>
      <c r="B780" s="3" t="s">
        <v>94</v>
      </c>
      <c r="C780" s="3" t="s">
        <v>118</v>
      </c>
      <c r="D780">
        <v>145</v>
      </c>
      <c r="E780">
        <v>107</v>
      </c>
      <c r="F780">
        <v>167</v>
      </c>
    </row>
    <row r="781" spans="1:6">
      <c r="A781" s="111" t="s">
        <v>1032</v>
      </c>
      <c r="B781" s="3" t="s">
        <v>94</v>
      </c>
      <c r="C781" s="3" t="s">
        <v>159</v>
      </c>
      <c r="D781">
        <v>226</v>
      </c>
      <c r="E781">
        <v>146</v>
      </c>
      <c r="F781">
        <v>216</v>
      </c>
    </row>
    <row r="782" spans="1:6">
      <c r="A782" s="111" t="s">
        <v>1033</v>
      </c>
      <c r="B782" s="3" t="s">
        <v>169</v>
      </c>
      <c r="C782" s="3" t="s">
        <v>118</v>
      </c>
      <c r="D782">
        <v>164</v>
      </c>
      <c r="E782">
        <v>167</v>
      </c>
      <c r="F782">
        <v>181</v>
      </c>
    </row>
    <row r="783" spans="1:6">
      <c r="A783" s="111" t="s">
        <v>1034</v>
      </c>
      <c r="B783" s="3" t="s">
        <v>97</v>
      </c>
      <c r="C783" s="3" t="s">
        <v>118</v>
      </c>
      <c r="D783">
        <v>120</v>
      </c>
      <c r="E783">
        <v>114</v>
      </c>
      <c r="F783">
        <v>158</v>
      </c>
    </row>
    <row r="784" spans="1:6">
      <c r="A784" s="111" t="s">
        <v>1035</v>
      </c>
      <c r="B784" s="3" t="s">
        <v>97</v>
      </c>
      <c r="C784" s="3" t="s">
        <v>118</v>
      </c>
      <c r="D784">
        <v>166</v>
      </c>
      <c r="E784">
        <v>167</v>
      </c>
      <c r="F784">
        <v>179</v>
      </c>
    </row>
    <row r="785" spans="1:6">
      <c r="A785" s="111" t="s">
        <v>1036</v>
      </c>
      <c r="B785" s="3" t="s">
        <v>97</v>
      </c>
      <c r="C785" s="3" t="s">
        <v>118</v>
      </c>
      <c r="D785">
        <v>166</v>
      </c>
      <c r="E785">
        <v>167</v>
      </c>
      <c r="F785">
        <v>179</v>
      </c>
    </row>
    <row r="786" spans="1:6">
      <c r="A786" s="111" t="s">
        <v>1037</v>
      </c>
      <c r="B786" s="3" t="s">
        <v>306</v>
      </c>
      <c r="C786" s="3" t="s">
        <v>266</v>
      </c>
      <c r="D786">
        <v>135</v>
      </c>
      <c r="E786">
        <v>139</v>
      </c>
      <c r="F786">
        <v>128</v>
      </c>
    </row>
    <row r="787" spans="1:6">
      <c r="A787" s="111" t="s">
        <v>1038</v>
      </c>
      <c r="B787" s="3" t="s">
        <v>306</v>
      </c>
      <c r="C787" s="3" t="s">
        <v>266</v>
      </c>
      <c r="D787">
        <v>188</v>
      </c>
      <c r="E787">
        <v>206</v>
      </c>
      <c r="F787">
        <v>153</v>
      </c>
    </row>
    <row r="788" spans="1:6">
      <c r="A788" s="111" t="s">
        <v>1039</v>
      </c>
      <c r="B788" s="3" t="s">
        <v>306</v>
      </c>
      <c r="C788" s="3" t="s">
        <v>266</v>
      </c>
      <c r="D788">
        <v>272</v>
      </c>
      <c r="E788">
        <v>97</v>
      </c>
      <c r="F788">
        <v>155</v>
      </c>
    </row>
    <row r="789" spans="1:6">
      <c r="A789" s="111" t="s">
        <v>1040</v>
      </c>
      <c r="B789" s="3" t="s">
        <v>306</v>
      </c>
      <c r="C789" s="3" t="s">
        <v>266</v>
      </c>
      <c r="D789">
        <v>97</v>
      </c>
      <c r="E789">
        <v>272</v>
      </c>
      <c r="F789">
        <v>155</v>
      </c>
    </row>
    <row r="790" spans="1:6">
      <c r="A790" s="111" t="s">
        <v>1041</v>
      </c>
      <c r="B790" s="3" t="s">
        <v>83</v>
      </c>
      <c r="C790" s="3" t="s">
        <v>118</v>
      </c>
      <c r="D790">
        <v>110</v>
      </c>
      <c r="E790">
        <v>113</v>
      </c>
      <c r="F790">
        <v>186</v>
      </c>
    </row>
    <row r="791" spans="1:6">
      <c r="A791" s="111" t="s">
        <v>1042</v>
      </c>
      <c r="B791" s="3" t="s">
        <v>83</v>
      </c>
      <c r="C791" s="3" t="s">
        <v>118</v>
      </c>
      <c r="D791">
        <v>173</v>
      </c>
      <c r="E791">
        <v>150</v>
      </c>
      <c r="F791">
        <v>226</v>
      </c>
    </row>
    <row r="792" spans="1:6">
      <c r="A792" s="111" t="s">
        <v>1043</v>
      </c>
      <c r="B792" s="3" t="s">
        <v>83</v>
      </c>
      <c r="C792" s="3" t="s">
        <v>118</v>
      </c>
      <c r="D792">
        <v>109</v>
      </c>
      <c r="E792">
        <v>119</v>
      </c>
      <c r="F792">
        <v>158</v>
      </c>
    </row>
    <row r="793" spans="1:6">
      <c r="A793" s="111" t="s">
        <v>1044</v>
      </c>
      <c r="B793" s="3" t="s">
        <v>83</v>
      </c>
      <c r="C793" s="3" t="s">
        <v>118</v>
      </c>
      <c r="D793">
        <v>168</v>
      </c>
      <c r="E793">
        <v>163</v>
      </c>
      <c r="F793">
        <v>193</v>
      </c>
    </row>
    <row r="794" spans="1:6">
      <c r="A794" s="111" t="s">
        <v>1045</v>
      </c>
      <c r="B794" s="3" t="s">
        <v>159</v>
      </c>
      <c r="C794" s="3" t="s">
        <v>97</v>
      </c>
      <c r="D794">
        <v>98</v>
      </c>
      <c r="E794">
        <v>95</v>
      </c>
      <c r="F794">
        <v>142</v>
      </c>
    </row>
    <row r="795" spans="1:6">
      <c r="A795" s="111" t="s">
        <v>190</v>
      </c>
      <c r="B795" s="3" t="s">
        <v>159</v>
      </c>
      <c r="C795" s="3" t="s">
        <v>97</v>
      </c>
      <c r="D795">
        <v>177</v>
      </c>
      <c r="E795">
        <v>165</v>
      </c>
      <c r="F795">
        <v>200</v>
      </c>
    </row>
    <row r="796" spans="1:6">
      <c r="A796" s="111" t="s">
        <v>1046</v>
      </c>
      <c r="B796" s="3" t="s">
        <v>38</v>
      </c>
      <c r="C796" s="3" t="s">
        <v>172</v>
      </c>
      <c r="D796">
        <v>96</v>
      </c>
      <c r="E796">
        <v>120</v>
      </c>
      <c r="F796">
        <v>123</v>
      </c>
    </row>
    <row r="797" spans="1:6">
      <c r="A797" s="111" t="s">
        <v>1047</v>
      </c>
      <c r="B797" s="3" t="s">
        <v>38</v>
      </c>
      <c r="C797" s="3" t="s">
        <v>172</v>
      </c>
      <c r="D797">
        <v>194</v>
      </c>
      <c r="E797">
        <v>205</v>
      </c>
      <c r="F797">
        <v>176</v>
      </c>
    </row>
    <row r="798" spans="1:6">
      <c r="A798" s="111" t="s">
        <v>1048</v>
      </c>
      <c r="B798" s="3" t="s">
        <v>274</v>
      </c>
      <c r="C798" s="3" t="s">
        <v>172</v>
      </c>
      <c r="D798">
        <v>109</v>
      </c>
      <c r="E798">
        <v>109</v>
      </c>
      <c r="F798">
        <v>137</v>
      </c>
    </row>
    <row r="799" spans="1:6">
      <c r="A799" s="111" t="s">
        <v>1049</v>
      </c>
      <c r="B799" s="3" t="s">
        <v>274</v>
      </c>
      <c r="C799" s="3" t="s">
        <v>44</v>
      </c>
      <c r="D799">
        <v>177</v>
      </c>
      <c r="E799">
        <v>207</v>
      </c>
      <c r="F799">
        <v>163</v>
      </c>
    </row>
    <row r="800" spans="1:6">
      <c r="A800" s="111" t="s">
        <v>1050</v>
      </c>
      <c r="B800" s="3" t="s">
        <v>172</v>
      </c>
      <c r="C800" s="3" t="s">
        <v>118</v>
      </c>
      <c r="D800">
        <v>108</v>
      </c>
      <c r="E800">
        <v>117</v>
      </c>
      <c r="F800">
        <v>137</v>
      </c>
    </row>
    <row r="801" spans="1:6">
      <c r="A801" s="111" t="s">
        <v>1051</v>
      </c>
      <c r="B801" s="3" t="s">
        <v>172</v>
      </c>
      <c r="C801" s="3" t="s">
        <v>118</v>
      </c>
      <c r="D801">
        <v>221</v>
      </c>
      <c r="E801">
        <v>171</v>
      </c>
      <c r="F801">
        <v>174</v>
      </c>
    </row>
    <row r="802" spans="1:6">
      <c r="A802" s="111" t="s">
        <v>1052</v>
      </c>
      <c r="B802" s="3" t="s">
        <v>177</v>
      </c>
      <c r="C802" s="3" t="s">
        <v>169</v>
      </c>
      <c r="D802">
        <v>115</v>
      </c>
      <c r="E802">
        <v>78</v>
      </c>
      <c r="F802">
        <v>127</v>
      </c>
    </row>
    <row r="803" spans="1:6">
      <c r="A803" s="111" t="s">
        <v>1053</v>
      </c>
      <c r="B803" s="3" t="s">
        <v>177</v>
      </c>
      <c r="C803" s="3" t="s">
        <v>169</v>
      </c>
      <c r="D803">
        <v>219</v>
      </c>
      <c r="E803">
        <v>168</v>
      </c>
      <c r="F803">
        <v>158</v>
      </c>
    </row>
    <row r="804" spans="1:6">
      <c r="A804" s="111" t="s">
        <v>1054</v>
      </c>
      <c r="B804" s="3" t="s">
        <v>38</v>
      </c>
      <c r="C804" s="3" t="s">
        <v>44</v>
      </c>
      <c r="D804">
        <v>158</v>
      </c>
      <c r="E804">
        <v>123</v>
      </c>
      <c r="F804">
        <v>151</v>
      </c>
    </row>
    <row r="805" spans="1:6">
      <c r="A805" s="111" t="s">
        <v>1055</v>
      </c>
      <c r="B805" s="3" t="s">
        <v>38</v>
      </c>
      <c r="C805" s="3" t="s">
        <v>44</v>
      </c>
      <c r="D805">
        <v>227</v>
      </c>
      <c r="E805">
        <v>191</v>
      </c>
      <c r="F805">
        <v>193</v>
      </c>
    </row>
    <row r="806" spans="1:6">
      <c r="A806" s="111" t="s">
        <v>1056</v>
      </c>
      <c r="B806" s="3" t="s">
        <v>38</v>
      </c>
      <c r="C806" s="3" t="s">
        <v>98</v>
      </c>
      <c r="D806">
        <v>124</v>
      </c>
      <c r="E806">
        <v>109</v>
      </c>
      <c r="F806">
        <v>184</v>
      </c>
    </row>
    <row r="807" spans="1:6">
      <c r="A807" s="111" t="s">
        <v>1057</v>
      </c>
      <c r="B807" s="3" t="s">
        <v>38</v>
      </c>
      <c r="C807" s="3" t="s">
        <v>98</v>
      </c>
      <c r="D807">
        <v>186</v>
      </c>
      <c r="E807">
        <v>163</v>
      </c>
      <c r="F807">
        <v>265</v>
      </c>
    </row>
    <row r="808" spans="1:6">
      <c r="A808" s="111" t="s">
        <v>186</v>
      </c>
      <c r="B808" s="3" t="s">
        <v>83</v>
      </c>
      <c r="C808" s="3" t="s">
        <v>118</v>
      </c>
      <c r="D808">
        <v>203</v>
      </c>
      <c r="E808">
        <v>205</v>
      </c>
      <c r="F808">
        <v>216</v>
      </c>
    </row>
    <row r="809" spans="1:6">
      <c r="A809" s="111" t="s">
        <v>1058</v>
      </c>
      <c r="B809" s="3" t="s">
        <v>94</v>
      </c>
      <c r="C809" s="3" t="s">
        <v>96</v>
      </c>
      <c r="D809">
        <v>195</v>
      </c>
      <c r="E809">
        <v>153</v>
      </c>
      <c r="F809">
        <v>186</v>
      </c>
    </row>
    <row r="810" spans="1:6">
      <c r="A810" s="111" t="s">
        <v>1059</v>
      </c>
      <c r="B810" s="3" t="s">
        <v>177</v>
      </c>
      <c r="C810" s="3" t="s">
        <v>83</v>
      </c>
      <c r="D810">
        <v>164</v>
      </c>
      <c r="E810">
        <v>134</v>
      </c>
      <c r="F810">
        <v>167</v>
      </c>
    </row>
    <row r="811" spans="1:6">
      <c r="A811" s="111" t="s">
        <v>1060</v>
      </c>
      <c r="B811" s="3" t="s">
        <v>38</v>
      </c>
      <c r="C811" s="3" t="s">
        <v>83</v>
      </c>
      <c r="D811">
        <v>95</v>
      </c>
      <c r="E811">
        <v>285</v>
      </c>
      <c r="F811">
        <v>137</v>
      </c>
    </row>
    <row r="812" spans="1:6">
      <c r="A812" s="111" t="s">
        <v>1061</v>
      </c>
      <c r="B812" s="3" t="s">
        <v>44</v>
      </c>
      <c r="C812" s="3" t="s">
        <v>118</v>
      </c>
      <c r="D812">
        <v>101</v>
      </c>
      <c r="E812">
        <v>112</v>
      </c>
      <c r="F812">
        <v>128</v>
      </c>
    </row>
    <row r="813" spans="1:6">
      <c r="A813" s="111" t="s">
        <v>1062</v>
      </c>
      <c r="B813" s="3" t="s">
        <v>44</v>
      </c>
      <c r="C813" s="3" t="s">
        <v>118</v>
      </c>
      <c r="D813">
        <v>159</v>
      </c>
      <c r="E813">
        <v>176</v>
      </c>
      <c r="F813">
        <v>169</v>
      </c>
    </row>
    <row r="814" spans="1:6">
      <c r="A814" s="111" t="s">
        <v>1063</v>
      </c>
      <c r="B814" s="3" t="s">
        <v>44</v>
      </c>
      <c r="C814" s="3" t="s">
        <v>118</v>
      </c>
      <c r="D814">
        <v>220</v>
      </c>
      <c r="E814">
        <v>242</v>
      </c>
      <c r="F814">
        <v>207</v>
      </c>
    </row>
    <row r="815" spans="1:6">
      <c r="A815" s="111" t="s">
        <v>1064</v>
      </c>
      <c r="B815" s="3" t="s">
        <v>306</v>
      </c>
      <c r="C815" s="3" t="s">
        <v>83</v>
      </c>
      <c r="D815">
        <v>160</v>
      </c>
      <c r="E815">
        <v>179</v>
      </c>
      <c r="F815">
        <v>149</v>
      </c>
    </row>
    <row r="816" spans="1:6">
      <c r="A816" s="111" t="s">
        <v>1065</v>
      </c>
      <c r="B816" s="3" t="s">
        <v>266</v>
      </c>
      <c r="C816" s="3" t="s">
        <v>166</v>
      </c>
      <c r="D816">
        <v>125</v>
      </c>
      <c r="E816">
        <v>103</v>
      </c>
      <c r="F816">
        <v>125</v>
      </c>
    </row>
    <row r="817" spans="1:6">
      <c r="A817" s="111" t="s">
        <v>1066</v>
      </c>
      <c r="B817" s="3" t="s">
        <v>266</v>
      </c>
      <c r="C817" s="3" t="s">
        <v>166</v>
      </c>
      <c r="D817">
        <v>201</v>
      </c>
      <c r="E817">
        <v>154</v>
      </c>
      <c r="F817">
        <v>198</v>
      </c>
    </row>
    <row r="818" spans="1:6">
      <c r="A818" s="111" t="s">
        <v>1067</v>
      </c>
      <c r="B818" s="3" t="s">
        <v>266</v>
      </c>
      <c r="C818" s="3" t="s">
        <v>166</v>
      </c>
      <c r="D818">
        <v>121</v>
      </c>
      <c r="E818">
        <v>123</v>
      </c>
      <c r="F818">
        <v>135</v>
      </c>
    </row>
    <row r="819" spans="1:6">
      <c r="A819" s="111" t="s">
        <v>1068</v>
      </c>
      <c r="B819" s="3" t="s">
        <v>266</v>
      </c>
      <c r="C819" s="3" t="s">
        <v>166</v>
      </c>
      <c r="D819">
        <v>120</v>
      </c>
      <c r="E819">
        <v>122</v>
      </c>
      <c r="F819">
        <v>144</v>
      </c>
    </row>
    <row r="820" spans="1:6">
      <c r="A820" s="111" t="s">
        <v>1069</v>
      </c>
      <c r="B820" s="3" t="s">
        <v>266</v>
      </c>
      <c r="C820" s="3" t="s">
        <v>166</v>
      </c>
      <c r="D820">
        <v>122</v>
      </c>
      <c r="E820">
        <v>124</v>
      </c>
      <c r="F820">
        <v>127</v>
      </c>
    </row>
    <row r="821" spans="1:6">
      <c r="A821" s="111" t="s">
        <v>1070</v>
      </c>
      <c r="B821" s="3" t="s">
        <v>266</v>
      </c>
      <c r="C821" s="3" t="s">
        <v>166</v>
      </c>
      <c r="D821">
        <v>118</v>
      </c>
      <c r="E821">
        <v>120</v>
      </c>
      <c r="F821">
        <v>153</v>
      </c>
    </row>
    <row r="822" spans="1:6">
      <c r="A822" s="111" t="s">
        <v>1071</v>
      </c>
      <c r="B822" s="3" t="s">
        <v>266</v>
      </c>
      <c r="C822" s="3" t="s">
        <v>166</v>
      </c>
      <c r="D822">
        <v>175</v>
      </c>
      <c r="E822">
        <v>213</v>
      </c>
      <c r="F822">
        <v>163</v>
      </c>
    </row>
    <row r="823" spans="1:6">
      <c r="A823" s="111" t="s">
        <v>1072</v>
      </c>
      <c r="B823" s="3" t="s">
        <v>266</v>
      </c>
      <c r="C823" s="3" t="s">
        <v>166</v>
      </c>
      <c r="D823">
        <v>179</v>
      </c>
      <c r="E823">
        <v>206</v>
      </c>
      <c r="F823">
        <v>181</v>
      </c>
    </row>
    <row r="824" spans="1:6">
      <c r="A824" s="111" t="s">
        <v>1073</v>
      </c>
      <c r="B824" s="3" t="s">
        <v>266</v>
      </c>
      <c r="C824" s="3" t="s">
        <v>166</v>
      </c>
      <c r="D824">
        <v>171</v>
      </c>
      <c r="E824">
        <v>219</v>
      </c>
      <c r="F824">
        <v>146</v>
      </c>
    </row>
    <row r="825" spans="1:6">
      <c r="A825" s="111" t="s">
        <v>1074</v>
      </c>
      <c r="B825" s="3" t="s">
        <v>266</v>
      </c>
      <c r="C825" s="3" t="s">
        <v>166</v>
      </c>
      <c r="D825">
        <v>182</v>
      </c>
      <c r="E825">
        <v>200</v>
      </c>
      <c r="F825">
        <v>198</v>
      </c>
    </row>
    <row r="826" spans="1:6">
      <c r="A826" s="111" t="s">
        <v>1075</v>
      </c>
      <c r="B826" s="3" t="s">
        <v>98</v>
      </c>
      <c r="C826" s="3" t="s">
        <v>118</v>
      </c>
      <c r="D826">
        <v>117</v>
      </c>
      <c r="E826">
        <v>120</v>
      </c>
      <c r="F826">
        <v>146</v>
      </c>
    </row>
    <row r="827" spans="1:6">
      <c r="A827" s="111" t="s">
        <v>1076</v>
      </c>
      <c r="B827" s="3" t="s">
        <v>98</v>
      </c>
      <c r="C827" s="3" t="s">
        <v>118</v>
      </c>
      <c r="D827">
        <v>196</v>
      </c>
      <c r="E827">
        <v>240</v>
      </c>
      <c r="F827">
        <v>216</v>
      </c>
    </row>
    <row r="828" spans="1:6">
      <c r="A828" s="111" t="s">
        <v>1077</v>
      </c>
      <c r="B828" s="3" t="s">
        <v>98</v>
      </c>
      <c r="C828" s="3" t="s">
        <v>38</v>
      </c>
      <c r="D828">
        <v>214</v>
      </c>
      <c r="E828">
        <v>238</v>
      </c>
      <c r="F828">
        <v>216</v>
      </c>
    </row>
    <row r="829" spans="1:6">
      <c r="A829" s="111" t="s">
        <v>1078</v>
      </c>
      <c r="B829" s="3" t="s">
        <v>96</v>
      </c>
      <c r="C829" s="3" t="s">
        <v>44</v>
      </c>
      <c r="D829">
        <v>83</v>
      </c>
      <c r="E829">
        <v>73</v>
      </c>
      <c r="F829">
        <v>120</v>
      </c>
    </row>
    <row r="830" spans="1:6">
      <c r="A830" s="111" t="s">
        <v>1079</v>
      </c>
      <c r="B830" s="3" t="s">
        <v>96</v>
      </c>
      <c r="C830" s="3" t="s">
        <v>44</v>
      </c>
      <c r="D830">
        <v>205</v>
      </c>
      <c r="E830">
        <v>175</v>
      </c>
      <c r="F830">
        <v>198</v>
      </c>
    </row>
    <row r="831" spans="1:6">
      <c r="A831" s="111" t="s">
        <v>1080</v>
      </c>
      <c r="B831" s="3" t="s">
        <v>83</v>
      </c>
      <c r="C831" s="3" t="s">
        <v>118</v>
      </c>
      <c r="D831">
        <v>250</v>
      </c>
      <c r="E831">
        <v>185</v>
      </c>
      <c r="F831">
        <v>246</v>
      </c>
    </row>
    <row r="832" spans="1:6">
      <c r="A832" s="111" t="s">
        <v>1081</v>
      </c>
      <c r="B832" s="3" t="s">
        <v>159</v>
      </c>
      <c r="C832" s="3" t="s">
        <v>96</v>
      </c>
      <c r="D832">
        <v>250</v>
      </c>
      <c r="E832">
        <v>185</v>
      </c>
      <c r="F832">
        <v>246</v>
      </c>
    </row>
    <row r="833" spans="1:6">
      <c r="A833" s="111" t="s">
        <v>1082</v>
      </c>
      <c r="B833" s="3" t="s">
        <v>44</v>
      </c>
      <c r="C833" s="3" t="s">
        <v>73</v>
      </c>
      <c r="D833">
        <v>205</v>
      </c>
      <c r="E833">
        <v>173</v>
      </c>
      <c r="F833">
        <v>144</v>
      </c>
    </row>
    <row r="834" spans="1:6">
      <c r="A834" s="111" t="s">
        <v>1083</v>
      </c>
      <c r="B834" s="3" t="s">
        <v>44</v>
      </c>
      <c r="C834" s="3" t="s">
        <v>73</v>
      </c>
      <c r="D834">
        <v>203</v>
      </c>
      <c r="E834">
        <v>232</v>
      </c>
      <c r="F834">
        <v>239</v>
      </c>
    </row>
    <row r="835" spans="1:6">
      <c r="A835" s="111" t="s">
        <v>1084</v>
      </c>
      <c r="B835" s="3" t="s">
        <v>44</v>
      </c>
      <c r="C835" s="3" t="s">
        <v>73</v>
      </c>
      <c r="D835">
        <v>184</v>
      </c>
      <c r="E835">
        <v>207</v>
      </c>
      <c r="F835">
        <v>389</v>
      </c>
    </row>
    <row r="836" spans="1:6">
      <c r="A836" s="111" t="s">
        <v>1085</v>
      </c>
      <c r="B836" s="3" t="s">
        <v>38</v>
      </c>
      <c r="C836" s="3" t="s">
        <v>83</v>
      </c>
      <c r="D836">
        <v>190</v>
      </c>
      <c r="E836">
        <v>285</v>
      </c>
      <c r="F836">
        <v>137</v>
      </c>
    </row>
    <row r="837" spans="1:6">
      <c r="A837" s="111" t="s">
        <v>1086</v>
      </c>
      <c r="B837" s="3" t="s">
        <v>97</v>
      </c>
      <c r="C837" s="3" t="s">
        <v>266</v>
      </c>
      <c r="D837">
        <v>261</v>
      </c>
      <c r="E837">
        <v>187</v>
      </c>
      <c r="F837">
        <v>173</v>
      </c>
    </row>
    <row r="838" spans="1:6">
      <c r="A838" s="111" t="s">
        <v>1087</v>
      </c>
      <c r="B838" s="3" t="s">
        <v>97</v>
      </c>
      <c r="C838" s="3" t="s">
        <v>266</v>
      </c>
      <c r="D838">
        <v>261</v>
      </c>
      <c r="E838">
        <v>187</v>
      </c>
      <c r="F838">
        <v>173</v>
      </c>
    </row>
    <row r="839" spans="1:6">
      <c r="A839" s="111" t="s">
        <v>1088</v>
      </c>
      <c r="B839" s="3" t="s">
        <v>97</v>
      </c>
      <c r="C839" s="3" t="s">
        <v>159</v>
      </c>
      <c r="D839">
        <v>311</v>
      </c>
      <c r="E839">
        <v>191</v>
      </c>
      <c r="F839">
        <v>173</v>
      </c>
    </row>
    <row r="840" spans="1:6">
      <c r="A840" s="111" t="s">
        <v>1089</v>
      </c>
      <c r="B840" s="3" t="s">
        <v>100</v>
      </c>
      <c r="C840" s="3" t="s">
        <v>172</v>
      </c>
      <c r="D840">
        <v>252</v>
      </c>
      <c r="E840">
        <v>216</v>
      </c>
      <c r="F840">
        <v>190</v>
      </c>
    </row>
    <row r="841" spans="1:6">
      <c r="A841" s="111" t="s">
        <v>1090</v>
      </c>
      <c r="B841" s="3" t="s">
        <v>166</v>
      </c>
      <c r="C841" s="3" t="s">
        <v>96</v>
      </c>
      <c r="D841">
        <v>102</v>
      </c>
      <c r="E841">
        <v>99</v>
      </c>
      <c r="F841">
        <v>169</v>
      </c>
    </row>
    <row r="842" spans="1:6">
      <c r="A842" s="111" t="s">
        <v>1091</v>
      </c>
      <c r="B842" s="3" t="s">
        <v>166</v>
      </c>
      <c r="C842" s="3" t="s">
        <v>96</v>
      </c>
      <c r="D842">
        <v>142</v>
      </c>
      <c r="E842">
        <v>139</v>
      </c>
      <c r="F842">
        <v>186</v>
      </c>
    </row>
    <row r="843" spans="1:6">
      <c r="A843" s="111" t="s">
        <v>1092</v>
      </c>
      <c r="B843" s="3" t="s">
        <v>166</v>
      </c>
      <c r="C843" s="3" t="s">
        <v>266</v>
      </c>
      <c r="D843">
        <v>210</v>
      </c>
      <c r="E843">
        <v>179</v>
      </c>
      <c r="F843">
        <v>186</v>
      </c>
    </row>
    <row r="844" spans="1:6">
      <c r="A844" s="111" t="s">
        <v>1093</v>
      </c>
      <c r="B844" s="3" t="s">
        <v>166</v>
      </c>
      <c r="C844" s="3" t="s">
        <v>94</v>
      </c>
      <c r="D844">
        <v>213</v>
      </c>
      <c r="E844">
        <v>174</v>
      </c>
      <c r="F844">
        <v>204</v>
      </c>
    </row>
    <row r="845" spans="1:6">
      <c r="A845" s="111" t="s">
        <v>1094</v>
      </c>
      <c r="B845" s="3" t="s">
        <v>100</v>
      </c>
      <c r="C845" s="3" t="s">
        <v>118</v>
      </c>
      <c r="D845">
        <v>128</v>
      </c>
      <c r="E845">
        <v>79</v>
      </c>
      <c r="F845">
        <v>128</v>
      </c>
    </row>
    <row r="846" spans="1:6">
      <c r="A846" s="111" t="s">
        <v>1095</v>
      </c>
      <c r="B846" s="3" t="s">
        <v>100</v>
      </c>
      <c r="C846" s="3" t="s">
        <v>118</v>
      </c>
      <c r="D846">
        <v>174</v>
      </c>
      <c r="E846">
        <v>103</v>
      </c>
      <c r="F846">
        <v>163</v>
      </c>
    </row>
    <row r="847" spans="1:6">
      <c r="A847" s="111" t="s">
        <v>1096</v>
      </c>
      <c r="B847" s="3" t="s">
        <v>100</v>
      </c>
      <c r="C847" s="3" t="s">
        <v>159</v>
      </c>
      <c r="D847">
        <v>214</v>
      </c>
      <c r="E847">
        <v>175</v>
      </c>
      <c r="F847">
        <v>216</v>
      </c>
    </row>
    <row r="848" spans="1:6">
      <c r="A848" s="111" t="s">
        <v>1097</v>
      </c>
      <c r="B848" s="3" t="s">
        <v>172</v>
      </c>
      <c r="C848" s="3" t="s">
        <v>118</v>
      </c>
      <c r="D848">
        <v>120</v>
      </c>
      <c r="E848">
        <v>103</v>
      </c>
      <c r="F848">
        <v>137</v>
      </c>
    </row>
    <row r="849" spans="1:6">
      <c r="A849" s="111" t="s">
        <v>1098</v>
      </c>
      <c r="B849" s="3" t="s">
        <v>172</v>
      </c>
      <c r="C849" s="3" t="s">
        <v>118</v>
      </c>
      <c r="D849">
        <v>168</v>
      </c>
      <c r="E849">
        <v>145</v>
      </c>
      <c r="F849">
        <v>155</v>
      </c>
    </row>
    <row r="850" spans="1:6">
      <c r="A850" s="111" t="s">
        <v>1099</v>
      </c>
      <c r="B850" s="3" t="s">
        <v>172</v>
      </c>
      <c r="C850" s="3" t="s">
        <v>83</v>
      </c>
      <c r="D850">
        <v>232</v>
      </c>
      <c r="E850">
        <v>195</v>
      </c>
      <c r="F850">
        <v>190</v>
      </c>
    </row>
    <row r="851" spans="1:6">
      <c r="A851" s="111" t="s">
        <v>1100</v>
      </c>
      <c r="B851" s="3" t="s">
        <v>169</v>
      </c>
      <c r="C851" s="3" t="s">
        <v>96</v>
      </c>
      <c r="D851">
        <v>136</v>
      </c>
      <c r="E851">
        <v>59</v>
      </c>
      <c r="F851">
        <v>111</v>
      </c>
    </row>
    <row r="852" spans="1:6">
      <c r="A852" s="111" t="s">
        <v>1101</v>
      </c>
      <c r="B852" s="3" t="s">
        <v>169</v>
      </c>
      <c r="C852" s="3" t="s">
        <v>96</v>
      </c>
      <c r="D852">
        <v>159</v>
      </c>
      <c r="E852">
        <v>100</v>
      </c>
      <c r="F852">
        <v>146</v>
      </c>
    </row>
    <row r="853" spans="1:6">
      <c r="A853" s="111" t="s">
        <v>1102</v>
      </c>
      <c r="B853" s="3" t="s">
        <v>169</v>
      </c>
      <c r="C853" s="3" t="s">
        <v>96</v>
      </c>
      <c r="D853">
        <v>222</v>
      </c>
      <c r="E853">
        <v>146</v>
      </c>
      <c r="F853">
        <v>190</v>
      </c>
    </row>
    <row r="854" spans="1:6">
      <c r="A854" s="111" t="s">
        <v>1103</v>
      </c>
      <c r="B854" s="3" t="s">
        <v>169</v>
      </c>
      <c r="C854" s="3" t="s">
        <v>118</v>
      </c>
      <c r="D854">
        <v>122</v>
      </c>
      <c r="E854">
        <v>56</v>
      </c>
      <c r="F854">
        <v>134</v>
      </c>
    </row>
    <row r="855" spans="1:6">
      <c r="A855" s="111" t="s">
        <v>1104</v>
      </c>
      <c r="B855" s="3" t="s">
        <v>169</v>
      </c>
      <c r="C855" s="3" t="s">
        <v>118</v>
      </c>
      <c r="D855">
        <v>194</v>
      </c>
      <c r="E855">
        <v>113</v>
      </c>
      <c r="F855">
        <v>204</v>
      </c>
    </row>
    <row r="856" spans="1:6">
      <c r="A856" s="111" t="s">
        <v>1105</v>
      </c>
      <c r="B856" s="3" t="s">
        <v>284</v>
      </c>
      <c r="C856" s="3" t="s">
        <v>118</v>
      </c>
      <c r="D856">
        <v>115</v>
      </c>
      <c r="E856">
        <v>85</v>
      </c>
      <c r="F856">
        <v>132</v>
      </c>
    </row>
    <row r="857" spans="1:6">
      <c r="A857" s="111" t="s">
        <v>1106</v>
      </c>
      <c r="B857" s="3" t="s">
        <v>284</v>
      </c>
      <c r="C857" s="3" t="s">
        <v>177</v>
      </c>
      <c r="D857">
        <v>145</v>
      </c>
      <c r="E857">
        <v>161</v>
      </c>
      <c r="F857">
        <v>149</v>
      </c>
    </row>
    <row r="858" spans="1:6">
      <c r="A858" s="111" t="s">
        <v>1107</v>
      </c>
      <c r="B858" s="3" t="s">
        <v>284</v>
      </c>
      <c r="C858" s="3" t="s">
        <v>177</v>
      </c>
      <c r="D858">
        <v>254</v>
      </c>
      <c r="E858">
        <v>158</v>
      </c>
      <c r="F858">
        <v>184</v>
      </c>
    </row>
    <row r="859" spans="1:6">
      <c r="A859" s="111" t="s">
        <v>1108</v>
      </c>
      <c r="B859" s="3" t="s">
        <v>94</v>
      </c>
      <c r="C859" s="3" t="s">
        <v>118</v>
      </c>
      <c r="D859">
        <v>150</v>
      </c>
      <c r="E859">
        <v>104</v>
      </c>
      <c r="F859">
        <v>132</v>
      </c>
    </row>
    <row r="860" spans="1:6">
      <c r="A860" s="111" t="s">
        <v>1109</v>
      </c>
      <c r="B860" s="3" t="s">
        <v>94</v>
      </c>
      <c r="C860" s="3" t="s">
        <v>98</v>
      </c>
      <c r="D860">
        <v>231</v>
      </c>
      <c r="E860">
        <v>138</v>
      </c>
      <c r="F860">
        <v>219</v>
      </c>
    </row>
    <row r="861" spans="1:6">
      <c r="A861" s="111" t="s">
        <v>1110</v>
      </c>
      <c r="B861" s="3" t="s">
        <v>100</v>
      </c>
      <c r="C861" s="3" t="s">
        <v>96</v>
      </c>
      <c r="D861">
        <v>196</v>
      </c>
      <c r="E861">
        <v>145</v>
      </c>
      <c r="F861">
        <v>181</v>
      </c>
    </row>
    <row r="862" spans="1:6">
      <c r="A862" s="111" t="s">
        <v>1111</v>
      </c>
      <c r="B862" s="3" t="s">
        <v>97</v>
      </c>
      <c r="C862" s="3" t="s">
        <v>96</v>
      </c>
      <c r="D862">
        <v>196</v>
      </c>
      <c r="E862">
        <v>145</v>
      </c>
      <c r="F862">
        <v>181</v>
      </c>
    </row>
    <row r="863" spans="1:6">
      <c r="A863" s="111" t="s">
        <v>1112</v>
      </c>
      <c r="B863" s="3" t="s">
        <v>177</v>
      </c>
      <c r="C863" s="3" t="s">
        <v>96</v>
      </c>
      <c r="D863">
        <v>196</v>
      </c>
      <c r="E863">
        <v>145</v>
      </c>
      <c r="F863">
        <v>181</v>
      </c>
    </row>
    <row r="864" spans="1:6">
      <c r="A864" s="111" t="s">
        <v>1113</v>
      </c>
      <c r="B864" s="3" t="s">
        <v>266</v>
      </c>
      <c r="C864" s="3" t="s">
        <v>96</v>
      </c>
      <c r="D864">
        <v>196</v>
      </c>
      <c r="E864">
        <v>145</v>
      </c>
      <c r="F864">
        <v>181</v>
      </c>
    </row>
    <row r="865" spans="1:6">
      <c r="A865" s="111" t="s">
        <v>1114</v>
      </c>
      <c r="B865" s="3" t="s">
        <v>284</v>
      </c>
      <c r="C865" s="3" t="s">
        <v>83</v>
      </c>
      <c r="D865">
        <v>110</v>
      </c>
      <c r="E865">
        <v>81</v>
      </c>
      <c r="F865">
        <v>120</v>
      </c>
    </row>
    <row r="866" spans="1:6">
      <c r="A866" s="111" t="s">
        <v>1115</v>
      </c>
      <c r="B866" s="3" t="s">
        <v>284</v>
      </c>
      <c r="C866" s="3" t="s">
        <v>83</v>
      </c>
      <c r="D866">
        <v>198</v>
      </c>
      <c r="E866">
        <v>146</v>
      </c>
      <c r="F866">
        <v>155</v>
      </c>
    </row>
    <row r="867" spans="1:6">
      <c r="A867" s="111" t="s">
        <v>1116</v>
      </c>
      <c r="B867" s="3" t="s">
        <v>38</v>
      </c>
      <c r="C867" s="3" t="s">
        <v>118</v>
      </c>
      <c r="D867">
        <v>117</v>
      </c>
      <c r="E867">
        <v>78</v>
      </c>
      <c r="F867">
        <v>128</v>
      </c>
    </row>
    <row r="868" spans="1:6">
      <c r="A868" s="111" t="s">
        <v>1117</v>
      </c>
      <c r="B868" s="3" t="s">
        <v>38</v>
      </c>
      <c r="C868" s="3" t="s">
        <v>118</v>
      </c>
      <c r="D868">
        <v>234</v>
      </c>
      <c r="E868">
        <v>139</v>
      </c>
      <c r="F868">
        <v>181</v>
      </c>
    </row>
    <row r="869" spans="1:6">
      <c r="A869" s="111" t="s">
        <v>1118</v>
      </c>
      <c r="B869" s="3" t="s">
        <v>38</v>
      </c>
      <c r="C869" s="3" t="s">
        <v>118</v>
      </c>
      <c r="D869">
        <v>231</v>
      </c>
      <c r="E869">
        <v>140</v>
      </c>
      <c r="F869">
        <v>181</v>
      </c>
    </row>
    <row r="870" spans="1:6">
      <c r="A870" s="111" t="s">
        <v>1119</v>
      </c>
      <c r="B870" s="3" t="s">
        <v>38</v>
      </c>
      <c r="C870" s="3" t="s">
        <v>118</v>
      </c>
      <c r="D870">
        <v>218</v>
      </c>
      <c r="E870">
        <v>152</v>
      </c>
      <c r="F870">
        <v>198</v>
      </c>
    </row>
    <row r="871" spans="1:6">
      <c r="A871" s="111" t="s">
        <v>1120</v>
      </c>
      <c r="B871" s="3" t="s">
        <v>172</v>
      </c>
      <c r="C871" s="3" t="s">
        <v>118</v>
      </c>
      <c r="D871">
        <v>46</v>
      </c>
      <c r="E871">
        <v>43</v>
      </c>
      <c r="F871">
        <v>128</v>
      </c>
    </row>
    <row r="872" spans="1:6">
      <c r="A872" s="111" t="s">
        <v>1121</v>
      </c>
      <c r="B872" s="3" t="s">
        <v>172</v>
      </c>
      <c r="C872" s="3" t="s">
        <v>118</v>
      </c>
      <c r="D872">
        <v>255</v>
      </c>
      <c r="E872">
        <v>242</v>
      </c>
      <c r="F872">
        <v>128</v>
      </c>
    </row>
    <row r="873" spans="1:6">
      <c r="A873" s="111" t="s">
        <v>1122</v>
      </c>
      <c r="B873" s="3" t="s">
        <v>172</v>
      </c>
      <c r="C873" s="3" t="s">
        <v>118</v>
      </c>
      <c r="D873">
        <v>46</v>
      </c>
      <c r="E873">
        <v>43</v>
      </c>
      <c r="F873">
        <v>128</v>
      </c>
    </row>
    <row r="874" spans="1:6">
      <c r="A874" s="111" t="s">
        <v>1123</v>
      </c>
      <c r="B874" s="3" t="s">
        <v>274</v>
      </c>
      <c r="C874" s="3" t="s">
        <v>172</v>
      </c>
      <c r="D874">
        <v>98</v>
      </c>
      <c r="E874">
        <v>110</v>
      </c>
      <c r="F874">
        <v>137</v>
      </c>
    </row>
    <row r="875" spans="1:6">
      <c r="A875" s="111" t="s">
        <v>1124</v>
      </c>
      <c r="B875" s="3" t="s">
        <v>274</v>
      </c>
      <c r="C875" s="3" t="s">
        <v>172</v>
      </c>
      <c r="D875">
        <v>114</v>
      </c>
      <c r="E875">
        <v>273</v>
      </c>
      <c r="F875">
        <v>137</v>
      </c>
    </row>
    <row r="876" spans="1:6">
      <c r="A876" s="111" t="s">
        <v>1125</v>
      </c>
      <c r="B876" s="3" t="s">
        <v>73</v>
      </c>
      <c r="C876" s="3" t="s">
        <v>118</v>
      </c>
      <c r="D876">
        <v>175</v>
      </c>
      <c r="E876">
        <v>121</v>
      </c>
      <c r="F876">
        <v>172</v>
      </c>
    </row>
    <row r="877" spans="1:6">
      <c r="A877" s="111" t="s">
        <v>1126</v>
      </c>
      <c r="B877" s="3" t="s">
        <v>73</v>
      </c>
      <c r="C877" s="3" t="s">
        <v>118</v>
      </c>
      <c r="D877">
        <v>214</v>
      </c>
      <c r="E877">
        <v>174</v>
      </c>
      <c r="F877">
        <v>225</v>
      </c>
    </row>
    <row r="878" spans="1:6">
      <c r="A878" s="111" t="s">
        <v>1127</v>
      </c>
      <c r="B878" s="3" t="s">
        <v>172</v>
      </c>
      <c r="C878" s="3" t="s">
        <v>284</v>
      </c>
      <c r="D878">
        <v>72</v>
      </c>
      <c r="E878">
        <v>117</v>
      </c>
      <c r="F878">
        <v>116</v>
      </c>
    </row>
    <row r="879" spans="1:6">
      <c r="A879" s="111" t="s">
        <v>1128</v>
      </c>
      <c r="B879" s="3" t="s">
        <v>172</v>
      </c>
      <c r="C879" s="3" t="s">
        <v>284</v>
      </c>
      <c r="D879">
        <v>126</v>
      </c>
      <c r="E879">
        <v>219</v>
      </c>
      <c r="F879">
        <v>169</v>
      </c>
    </row>
    <row r="880" spans="1:6">
      <c r="A880" s="111" t="s">
        <v>1129</v>
      </c>
      <c r="B880" s="3" t="s">
        <v>166</v>
      </c>
      <c r="C880" s="3" t="s">
        <v>118</v>
      </c>
      <c r="D880">
        <v>100</v>
      </c>
      <c r="E880">
        <v>64</v>
      </c>
      <c r="F880">
        <v>120</v>
      </c>
    </row>
    <row r="881" spans="1:6">
      <c r="A881" s="111" t="s">
        <v>1130</v>
      </c>
      <c r="B881" s="3" t="s">
        <v>166</v>
      </c>
      <c r="C881" s="3" t="s">
        <v>118</v>
      </c>
      <c r="D881">
        <v>192</v>
      </c>
      <c r="E881">
        <v>169</v>
      </c>
      <c r="F881">
        <v>172</v>
      </c>
    </row>
    <row r="882" spans="1:6">
      <c r="A882" s="111" t="s">
        <v>1131</v>
      </c>
      <c r="B882" s="3" t="s">
        <v>166</v>
      </c>
      <c r="C882" s="3" t="s">
        <v>83</v>
      </c>
      <c r="D882">
        <v>108</v>
      </c>
      <c r="E882">
        <v>119</v>
      </c>
      <c r="F882">
        <v>120</v>
      </c>
    </row>
    <row r="883" spans="1:6">
      <c r="A883" s="111" t="s">
        <v>1132</v>
      </c>
      <c r="B883" s="3" t="s">
        <v>166</v>
      </c>
      <c r="C883" s="3" t="s">
        <v>83</v>
      </c>
      <c r="D883">
        <v>154</v>
      </c>
      <c r="E883">
        <v>168</v>
      </c>
      <c r="F883">
        <v>155</v>
      </c>
    </row>
    <row r="884" spans="1:6">
      <c r="A884" s="111" t="s">
        <v>1133</v>
      </c>
      <c r="B884" s="3" t="s">
        <v>274</v>
      </c>
      <c r="C884" s="3" t="s">
        <v>100</v>
      </c>
      <c r="D884">
        <v>136</v>
      </c>
      <c r="E884">
        <v>80</v>
      </c>
      <c r="F884">
        <v>134</v>
      </c>
    </row>
    <row r="885" spans="1:6">
      <c r="A885" s="111" t="s">
        <v>1134</v>
      </c>
      <c r="B885" s="3" t="s">
        <v>274</v>
      </c>
      <c r="C885" s="3" t="s">
        <v>100</v>
      </c>
      <c r="D885">
        <v>228</v>
      </c>
      <c r="E885">
        <v>130</v>
      </c>
      <c r="F885">
        <v>169</v>
      </c>
    </row>
    <row r="886" spans="1:6">
      <c r="A886" s="111" t="s">
        <v>1135</v>
      </c>
      <c r="B886" s="3" t="s">
        <v>169</v>
      </c>
      <c r="C886" s="3" t="s">
        <v>94</v>
      </c>
      <c r="D886">
        <v>136</v>
      </c>
      <c r="E886">
        <v>95</v>
      </c>
      <c r="F886">
        <v>172</v>
      </c>
    </row>
    <row r="887" spans="1:6">
      <c r="A887" s="111" t="s">
        <v>1136</v>
      </c>
      <c r="B887" s="3" t="s">
        <v>169</v>
      </c>
      <c r="C887" s="3" t="s">
        <v>94</v>
      </c>
      <c r="D887">
        <v>226</v>
      </c>
      <c r="E887">
        <v>141</v>
      </c>
      <c r="F887">
        <v>260</v>
      </c>
    </row>
    <row r="888" spans="1:6">
      <c r="A888" s="111" t="s">
        <v>1137</v>
      </c>
      <c r="B888" s="3" t="s">
        <v>166</v>
      </c>
      <c r="C888" s="3" t="s">
        <v>118</v>
      </c>
      <c r="D888">
        <v>55</v>
      </c>
      <c r="E888">
        <v>69</v>
      </c>
      <c r="F888">
        <v>123</v>
      </c>
    </row>
    <row r="889" spans="1:6">
      <c r="A889" s="111" t="s">
        <v>1138</v>
      </c>
      <c r="B889" s="3" t="s">
        <v>166</v>
      </c>
      <c r="C889" s="3" t="s">
        <v>118</v>
      </c>
      <c r="D889">
        <v>78</v>
      </c>
      <c r="E889">
        <v>94</v>
      </c>
      <c r="F889">
        <v>141</v>
      </c>
    </row>
    <row r="890" spans="1:6">
      <c r="A890" s="111" t="s">
        <v>1139</v>
      </c>
      <c r="B890" s="3" t="s">
        <v>166</v>
      </c>
      <c r="C890" s="3" t="s">
        <v>118</v>
      </c>
      <c r="D890">
        <v>222</v>
      </c>
      <c r="E890">
        <v>195</v>
      </c>
      <c r="F890">
        <v>176</v>
      </c>
    </row>
    <row r="891" spans="1:6">
      <c r="A891" s="111" t="s">
        <v>1140</v>
      </c>
      <c r="B891" s="3" t="s">
        <v>83</v>
      </c>
      <c r="C891" s="3" t="s">
        <v>118</v>
      </c>
      <c r="D891">
        <v>165</v>
      </c>
      <c r="E891">
        <v>215</v>
      </c>
      <c r="F891">
        <v>139</v>
      </c>
    </row>
    <row r="892" spans="1:6">
      <c r="A892" s="111" t="s">
        <v>1141</v>
      </c>
      <c r="B892" s="3" t="s">
        <v>169</v>
      </c>
      <c r="C892" s="3" t="s">
        <v>97</v>
      </c>
      <c r="D892">
        <v>168</v>
      </c>
      <c r="E892">
        <v>192</v>
      </c>
      <c r="F892">
        <v>207</v>
      </c>
    </row>
    <row r="893" spans="1:6">
      <c r="A893" s="111" t="s">
        <v>1142</v>
      </c>
      <c r="B893" s="3" t="s">
        <v>94</v>
      </c>
      <c r="C893" s="3" t="s">
        <v>118</v>
      </c>
      <c r="D893">
        <v>222</v>
      </c>
      <c r="E893">
        <v>160</v>
      </c>
      <c r="F893">
        <v>225</v>
      </c>
    </row>
    <row r="894" spans="1:6">
      <c r="A894" s="111" t="s">
        <v>1143</v>
      </c>
      <c r="B894" s="3" t="s">
        <v>284</v>
      </c>
      <c r="C894" s="3" t="s">
        <v>172</v>
      </c>
      <c r="D894">
        <v>67</v>
      </c>
      <c r="E894">
        <v>74</v>
      </c>
      <c r="F894">
        <v>93</v>
      </c>
    </row>
    <row r="895" spans="1:6">
      <c r="A895" s="111" t="s">
        <v>1144</v>
      </c>
      <c r="B895" s="3" t="s">
        <v>284</v>
      </c>
      <c r="C895" s="3" t="s">
        <v>172</v>
      </c>
      <c r="D895">
        <v>218</v>
      </c>
      <c r="E895">
        <v>226</v>
      </c>
      <c r="F895">
        <v>181</v>
      </c>
    </row>
    <row r="896" spans="1:6">
      <c r="A896" s="111" t="s">
        <v>1145</v>
      </c>
      <c r="B896" s="3" t="s">
        <v>284</v>
      </c>
      <c r="C896" s="3" t="s">
        <v>172</v>
      </c>
      <c r="D896">
        <v>218</v>
      </c>
      <c r="E896">
        <v>226</v>
      </c>
      <c r="F896">
        <v>181</v>
      </c>
    </row>
    <row r="897" spans="1:6">
      <c r="A897" s="111" t="s">
        <v>1146</v>
      </c>
      <c r="B897" s="3" t="s">
        <v>266</v>
      </c>
      <c r="C897" s="3" t="s">
        <v>73</v>
      </c>
      <c r="D897">
        <v>120</v>
      </c>
      <c r="E897">
        <v>118</v>
      </c>
      <c r="F897">
        <v>146</v>
      </c>
    </row>
    <row r="898" spans="1:6">
      <c r="A898" s="111" t="s">
        <v>1147</v>
      </c>
      <c r="B898" s="3" t="s">
        <v>266</v>
      </c>
      <c r="C898" s="3" t="s">
        <v>73</v>
      </c>
      <c r="D898">
        <v>178</v>
      </c>
      <c r="E898">
        <v>178</v>
      </c>
      <c r="F898">
        <v>198</v>
      </c>
    </row>
    <row r="899" spans="1:6">
      <c r="A899" s="111" t="s">
        <v>1148</v>
      </c>
      <c r="B899" s="3" t="s">
        <v>172</v>
      </c>
      <c r="C899" s="3" t="s">
        <v>118</v>
      </c>
      <c r="D899">
        <v>97</v>
      </c>
      <c r="E899">
        <v>224</v>
      </c>
      <c r="F899">
        <v>146</v>
      </c>
    </row>
    <row r="900" spans="1:6">
      <c r="A900" s="111" t="s">
        <v>1149</v>
      </c>
      <c r="B900" s="3" t="s">
        <v>169</v>
      </c>
      <c r="C900" s="3" t="s">
        <v>118</v>
      </c>
      <c r="D900">
        <v>184</v>
      </c>
      <c r="E900">
        <v>184</v>
      </c>
      <c r="F900">
        <v>216</v>
      </c>
    </row>
    <row r="901" spans="1:6">
      <c r="A901" s="111" t="s">
        <v>1150</v>
      </c>
      <c r="B901" s="3" t="s">
        <v>169</v>
      </c>
      <c r="C901" s="3" t="s">
        <v>118</v>
      </c>
      <c r="D901">
        <v>198</v>
      </c>
      <c r="E901">
        <v>198</v>
      </c>
      <c r="F901">
        <v>216</v>
      </c>
    </row>
    <row r="902" spans="1:6">
      <c r="A902" s="111" t="s">
        <v>1151</v>
      </c>
      <c r="B902" s="3" t="s">
        <v>284</v>
      </c>
      <c r="C902" s="3" t="s">
        <v>118</v>
      </c>
      <c r="D902">
        <v>198</v>
      </c>
      <c r="E902">
        <v>198</v>
      </c>
      <c r="F902">
        <v>216</v>
      </c>
    </row>
    <row r="903" spans="1:6">
      <c r="A903" s="111" t="s">
        <v>1152</v>
      </c>
      <c r="B903" s="3" t="s">
        <v>159</v>
      </c>
      <c r="C903" s="3" t="s">
        <v>118</v>
      </c>
      <c r="D903">
        <v>198</v>
      </c>
      <c r="E903">
        <v>198</v>
      </c>
      <c r="F903">
        <v>216</v>
      </c>
    </row>
    <row r="904" spans="1:6">
      <c r="A904" s="111" t="s">
        <v>1153</v>
      </c>
      <c r="B904" s="3" t="s">
        <v>44</v>
      </c>
      <c r="C904" s="3" t="s">
        <v>118</v>
      </c>
      <c r="D904">
        <v>198</v>
      </c>
      <c r="E904">
        <v>198</v>
      </c>
      <c r="F904">
        <v>216</v>
      </c>
    </row>
    <row r="905" spans="1:6">
      <c r="A905" s="111" t="s">
        <v>1154</v>
      </c>
      <c r="B905" s="3" t="s">
        <v>177</v>
      </c>
      <c r="C905" s="3" t="s">
        <v>118</v>
      </c>
      <c r="D905">
        <v>198</v>
      </c>
      <c r="E905">
        <v>198</v>
      </c>
      <c r="F905">
        <v>216</v>
      </c>
    </row>
    <row r="906" spans="1:6">
      <c r="A906" s="111" t="s">
        <v>1155</v>
      </c>
      <c r="B906" s="3" t="s">
        <v>83</v>
      </c>
      <c r="C906" s="3" t="s">
        <v>118</v>
      </c>
      <c r="D906">
        <v>198</v>
      </c>
      <c r="E906">
        <v>198</v>
      </c>
      <c r="F906">
        <v>216</v>
      </c>
    </row>
    <row r="907" spans="1:6">
      <c r="A907" s="111" t="s">
        <v>1156</v>
      </c>
      <c r="B907" s="3" t="s">
        <v>94</v>
      </c>
      <c r="C907" s="3" t="s">
        <v>118</v>
      </c>
      <c r="D907">
        <v>198</v>
      </c>
      <c r="E907">
        <v>198</v>
      </c>
      <c r="F907">
        <v>216</v>
      </c>
    </row>
    <row r="908" spans="1:6">
      <c r="A908" s="111" t="s">
        <v>1157</v>
      </c>
      <c r="B908" s="3" t="s">
        <v>100</v>
      </c>
      <c r="C908" s="3" t="s">
        <v>118</v>
      </c>
      <c r="D908">
        <v>198</v>
      </c>
      <c r="E908">
        <v>198</v>
      </c>
      <c r="F908">
        <v>216</v>
      </c>
    </row>
    <row r="909" spans="1:6">
      <c r="A909" s="111" t="s">
        <v>1449</v>
      </c>
      <c r="B909" s="3" t="s">
        <v>96</v>
      </c>
      <c r="C909" s="3" t="s">
        <v>118</v>
      </c>
      <c r="D909">
        <v>198</v>
      </c>
      <c r="E909">
        <v>198</v>
      </c>
      <c r="F909">
        <v>216</v>
      </c>
    </row>
    <row r="910" spans="1:6">
      <c r="A910" s="111" t="s">
        <v>1158</v>
      </c>
      <c r="B910" s="3" t="s">
        <v>266</v>
      </c>
      <c r="C910" s="3" t="s">
        <v>118</v>
      </c>
      <c r="D910">
        <v>198</v>
      </c>
      <c r="E910">
        <v>198</v>
      </c>
      <c r="F910">
        <v>216</v>
      </c>
    </row>
    <row r="911" spans="1:6">
      <c r="A911" s="111" t="s">
        <v>1159</v>
      </c>
      <c r="B911" s="3" t="s">
        <v>166</v>
      </c>
      <c r="C911" s="3" t="s">
        <v>118</v>
      </c>
      <c r="D911">
        <v>198</v>
      </c>
      <c r="E911">
        <v>198</v>
      </c>
      <c r="F911">
        <v>216</v>
      </c>
    </row>
    <row r="912" spans="1:6">
      <c r="A912" s="111" t="s">
        <v>1160</v>
      </c>
      <c r="B912" s="3" t="s">
        <v>73</v>
      </c>
      <c r="C912" s="3" t="s">
        <v>118</v>
      </c>
      <c r="D912">
        <v>198</v>
      </c>
      <c r="E912">
        <v>198</v>
      </c>
      <c r="F912">
        <v>216</v>
      </c>
    </row>
    <row r="913" spans="1:6">
      <c r="A913" s="111" t="s">
        <v>1161</v>
      </c>
      <c r="B913" s="3" t="s">
        <v>98</v>
      </c>
      <c r="C913" s="3" t="s">
        <v>118</v>
      </c>
      <c r="D913">
        <v>198</v>
      </c>
      <c r="E913">
        <v>198</v>
      </c>
      <c r="F913">
        <v>216</v>
      </c>
    </row>
    <row r="914" spans="1:6">
      <c r="A914" s="111" t="s">
        <v>1162</v>
      </c>
      <c r="B914" s="3" t="s">
        <v>274</v>
      </c>
      <c r="C914" s="3" t="s">
        <v>118</v>
      </c>
      <c r="D914">
        <v>198</v>
      </c>
      <c r="E914">
        <v>198</v>
      </c>
      <c r="F914">
        <v>216</v>
      </c>
    </row>
    <row r="915" spans="1:6">
      <c r="A915" s="111" t="s">
        <v>1163</v>
      </c>
      <c r="B915" s="3" t="s">
        <v>97</v>
      </c>
      <c r="C915" s="3" t="s">
        <v>118</v>
      </c>
      <c r="D915">
        <v>198</v>
      </c>
      <c r="E915">
        <v>198</v>
      </c>
      <c r="F915">
        <v>216</v>
      </c>
    </row>
    <row r="916" spans="1:6">
      <c r="A916" s="111" t="s">
        <v>1164</v>
      </c>
      <c r="B916" s="3" t="s">
        <v>38</v>
      </c>
      <c r="C916" s="3" t="s">
        <v>118</v>
      </c>
      <c r="D916">
        <v>198</v>
      </c>
      <c r="E916">
        <v>198</v>
      </c>
      <c r="F916">
        <v>216</v>
      </c>
    </row>
    <row r="917" spans="1:6">
      <c r="A917" s="111" t="s">
        <v>1165</v>
      </c>
      <c r="B917" s="3" t="s">
        <v>306</v>
      </c>
      <c r="C917" s="3" t="s">
        <v>118</v>
      </c>
      <c r="D917">
        <v>198</v>
      </c>
      <c r="E917">
        <v>198</v>
      </c>
      <c r="F917">
        <v>216</v>
      </c>
    </row>
    <row r="918" spans="1:6">
      <c r="A918" s="111" t="s">
        <v>1166</v>
      </c>
      <c r="B918" s="3" t="s">
        <v>172</v>
      </c>
      <c r="C918" s="3" t="s">
        <v>118</v>
      </c>
      <c r="D918">
        <v>198</v>
      </c>
      <c r="E918">
        <v>198</v>
      </c>
      <c r="F918">
        <v>216</v>
      </c>
    </row>
    <row r="919" spans="1:6">
      <c r="A919" s="111" t="s">
        <v>1167</v>
      </c>
      <c r="B919" s="3" t="s">
        <v>38</v>
      </c>
      <c r="C919" s="3" t="s">
        <v>96</v>
      </c>
      <c r="D919">
        <v>218</v>
      </c>
      <c r="E919">
        <v>131</v>
      </c>
      <c r="F919">
        <v>155</v>
      </c>
    </row>
    <row r="920" spans="1:6">
      <c r="A920" s="111" t="s">
        <v>1168</v>
      </c>
      <c r="B920" s="3" t="s">
        <v>38</v>
      </c>
      <c r="C920" s="3" t="s">
        <v>96</v>
      </c>
      <c r="D920">
        <v>116</v>
      </c>
      <c r="E920">
        <v>194</v>
      </c>
      <c r="F920">
        <v>155</v>
      </c>
    </row>
    <row r="921" spans="1:6">
      <c r="A921" s="111" t="s">
        <v>1169</v>
      </c>
      <c r="B921" s="3" t="s">
        <v>169</v>
      </c>
      <c r="C921" s="3" t="s">
        <v>118</v>
      </c>
      <c r="D921">
        <v>216</v>
      </c>
      <c r="E921">
        <v>165</v>
      </c>
      <c r="F921">
        <v>163</v>
      </c>
    </row>
    <row r="922" spans="1:6">
      <c r="A922" s="111" t="s">
        <v>1170</v>
      </c>
      <c r="B922" s="3" t="s">
        <v>100</v>
      </c>
      <c r="C922" s="3" t="s">
        <v>44</v>
      </c>
      <c r="D922">
        <v>165</v>
      </c>
      <c r="E922">
        <v>215</v>
      </c>
      <c r="F922">
        <v>155</v>
      </c>
    </row>
    <row r="923" spans="1:6">
      <c r="A923" s="111" t="s">
        <v>1171</v>
      </c>
      <c r="B923" s="3" t="s">
        <v>177</v>
      </c>
      <c r="C923" s="3" t="s">
        <v>306</v>
      </c>
      <c r="D923">
        <v>190</v>
      </c>
      <c r="E923">
        <v>145</v>
      </c>
      <c r="F923">
        <v>163</v>
      </c>
    </row>
    <row r="924" spans="1:6">
      <c r="A924" s="111" t="s">
        <v>1172</v>
      </c>
      <c r="B924" s="3" t="s">
        <v>266</v>
      </c>
      <c r="C924" s="3" t="s">
        <v>83</v>
      </c>
      <c r="D924">
        <v>177</v>
      </c>
      <c r="E924">
        <v>199</v>
      </c>
      <c r="F924">
        <v>146</v>
      </c>
    </row>
    <row r="925" spans="1:6">
      <c r="A925" s="111" t="s">
        <v>1173</v>
      </c>
      <c r="B925" s="3" t="s">
        <v>172</v>
      </c>
      <c r="C925" s="3" t="s">
        <v>97</v>
      </c>
      <c r="D925">
        <v>208</v>
      </c>
      <c r="E925">
        <v>145</v>
      </c>
      <c r="F925">
        <v>169</v>
      </c>
    </row>
    <row r="926" spans="1:6">
      <c r="A926" s="111" t="s">
        <v>264</v>
      </c>
      <c r="B926" s="3" t="s">
        <v>169</v>
      </c>
      <c r="C926" s="3" t="s">
        <v>44</v>
      </c>
      <c r="D926">
        <v>231</v>
      </c>
      <c r="E926">
        <v>164</v>
      </c>
      <c r="F926">
        <v>186</v>
      </c>
    </row>
    <row r="927" spans="1:6">
      <c r="A927" s="111" t="s">
        <v>1174</v>
      </c>
      <c r="B927" s="3" t="s">
        <v>266</v>
      </c>
      <c r="C927" s="3" t="s">
        <v>166</v>
      </c>
      <c r="D927">
        <v>233</v>
      </c>
      <c r="E927">
        <v>179</v>
      </c>
      <c r="F927">
        <v>172</v>
      </c>
    </row>
    <row r="928" spans="1:6">
      <c r="A928" s="111" t="s">
        <v>1175</v>
      </c>
      <c r="B928" s="3" t="s">
        <v>44</v>
      </c>
      <c r="C928" s="3" t="s">
        <v>118</v>
      </c>
      <c r="D928">
        <v>102</v>
      </c>
      <c r="E928">
        <v>108</v>
      </c>
      <c r="F928">
        <v>128</v>
      </c>
    </row>
    <row r="929" spans="1:6">
      <c r="A929" s="111" t="s">
        <v>1176</v>
      </c>
      <c r="B929" s="3" t="s">
        <v>44</v>
      </c>
      <c r="C929" s="3" t="s">
        <v>94</v>
      </c>
      <c r="D929">
        <v>145</v>
      </c>
      <c r="E929">
        <v>162</v>
      </c>
      <c r="F929">
        <v>146</v>
      </c>
    </row>
    <row r="930" spans="1:6">
      <c r="A930" s="111" t="s">
        <v>1177</v>
      </c>
      <c r="B930" s="3" t="s">
        <v>44</v>
      </c>
      <c r="C930" s="3" t="s">
        <v>94</v>
      </c>
      <c r="D930">
        <v>222</v>
      </c>
      <c r="E930">
        <v>240</v>
      </c>
      <c r="F930">
        <v>181</v>
      </c>
    </row>
    <row r="931" spans="1:6">
      <c r="A931" s="111" t="s">
        <v>1178</v>
      </c>
      <c r="B931" s="3" t="s">
        <v>177</v>
      </c>
      <c r="C931" s="3" t="s">
        <v>83</v>
      </c>
      <c r="D931">
        <v>250</v>
      </c>
      <c r="E931">
        <v>181</v>
      </c>
      <c r="F931">
        <v>172</v>
      </c>
    </row>
    <row r="932" spans="1:6">
      <c r="A932" s="111" t="s">
        <v>1179</v>
      </c>
      <c r="B932" s="3" t="s">
        <v>97</v>
      </c>
      <c r="C932" s="3" t="s">
        <v>83</v>
      </c>
      <c r="D932">
        <v>259</v>
      </c>
      <c r="E932">
        <v>208</v>
      </c>
      <c r="F932">
        <v>172</v>
      </c>
    </row>
    <row r="933" spans="1:6">
      <c r="A933" s="111" t="s">
        <v>1180</v>
      </c>
      <c r="B933" s="3" t="s">
        <v>166</v>
      </c>
      <c r="C933" s="3" t="s">
        <v>83</v>
      </c>
      <c r="D933">
        <v>249</v>
      </c>
      <c r="E933">
        <v>215</v>
      </c>
      <c r="F933">
        <v>172</v>
      </c>
    </row>
    <row r="934" spans="1:6">
      <c r="A934" s="111" t="s">
        <v>1181</v>
      </c>
      <c r="B934" s="3" t="s">
        <v>172</v>
      </c>
      <c r="C934" s="3" t="s">
        <v>83</v>
      </c>
      <c r="D934">
        <v>189</v>
      </c>
      <c r="E934">
        <v>254</v>
      </c>
      <c r="F934">
        <v>172</v>
      </c>
    </row>
    <row r="935" spans="1:6">
      <c r="A935" s="111" t="s">
        <v>1182</v>
      </c>
      <c r="B935" s="3" t="s">
        <v>97</v>
      </c>
      <c r="C935" s="3" t="s">
        <v>118</v>
      </c>
      <c r="D935">
        <v>54</v>
      </c>
      <c r="E935">
        <v>57</v>
      </c>
      <c r="F935">
        <v>125</v>
      </c>
    </row>
    <row r="936" spans="1:6">
      <c r="A936" s="111" t="s">
        <v>1183</v>
      </c>
      <c r="B936" s="3" t="s">
        <v>97</v>
      </c>
      <c r="C936" s="3" t="s">
        <v>118</v>
      </c>
      <c r="D936">
        <v>54</v>
      </c>
      <c r="E936">
        <v>242</v>
      </c>
      <c r="F936">
        <v>125</v>
      </c>
    </row>
    <row r="937" spans="1:6">
      <c r="A937" s="111" t="s">
        <v>1184</v>
      </c>
      <c r="B937" s="3" t="s">
        <v>97</v>
      </c>
      <c r="C937" s="3" t="s">
        <v>306</v>
      </c>
      <c r="D937">
        <v>255</v>
      </c>
      <c r="E937">
        <v>191</v>
      </c>
      <c r="F937">
        <v>264</v>
      </c>
    </row>
    <row r="938" spans="1:6">
      <c r="A938" s="111" t="s">
        <v>1185</v>
      </c>
      <c r="B938" s="3" t="s">
        <v>97</v>
      </c>
      <c r="C938" s="3" t="s">
        <v>266</v>
      </c>
      <c r="D938">
        <v>255</v>
      </c>
      <c r="E938">
        <v>191</v>
      </c>
      <c r="F938">
        <v>264</v>
      </c>
    </row>
    <row r="939" spans="1:6">
      <c r="A939" s="111" t="s">
        <v>1186</v>
      </c>
      <c r="B939" s="3" t="s">
        <v>38</v>
      </c>
      <c r="C939" s="3" t="s">
        <v>274</v>
      </c>
      <c r="D939">
        <v>249</v>
      </c>
      <c r="E939">
        <v>210</v>
      </c>
      <c r="F939">
        <v>240</v>
      </c>
    </row>
    <row r="940" spans="1:6">
      <c r="A940" s="111" t="s">
        <v>1187</v>
      </c>
      <c r="B940" s="3" t="s">
        <v>284</v>
      </c>
      <c r="C940" s="3" t="s">
        <v>94</v>
      </c>
      <c r="D940">
        <v>236</v>
      </c>
      <c r="E940">
        <v>196</v>
      </c>
      <c r="F940">
        <v>216</v>
      </c>
    </row>
    <row r="941" spans="1:6">
      <c r="A941" s="111" t="s">
        <v>1188</v>
      </c>
      <c r="B941" s="3" t="s">
        <v>284</v>
      </c>
      <c r="C941" s="3" t="s">
        <v>94</v>
      </c>
      <c r="D941">
        <v>316</v>
      </c>
      <c r="E941">
        <v>85</v>
      </c>
      <c r="F941">
        <v>174</v>
      </c>
    </row>
    <row r="942" spans="1:6">
      <c r="A942" s="111" t="s">
        <v>216</v>
      </c>
      <c r="B942" s="3" t="s">
        <v>177</v>
      </c>
      <c r="C942" s="3" t="s">
        <v>118</v>
      </c>
      <c r="D942">
        <v>330</v>
      </c>
      <c r="E942">
        <v>144</v>
      </c>
      <c r="F942">
        <v>195</v>
      </c>
    </row>
    <row r="943" spans="1:6">
      <c r="A943" s="111" t="s">
        <v>1189</v>
      </c>
      <c r="B943" s="3" t="s">
        <v>306</v>
      </c>
      <c r="C943" s="3" t="s">
        <v>96</v>
      </c>
      <c r="D943">
        <v>207</v>
      </c>
      <c r="E943">
        <v>199</v>
      </c>
      <c r="F943">
        <v>219</v>
      </c>
    </row>
    <row r="944" spans="1:6">
      <c r="A944" s="111" t="s">
        <v>1190</v>
      </c>
      <c r="B944" s="3" t="s">
        <v>166</v>
      </c>
      <c r="C944" s="3" t="s">
        <v>306</v>
      </c>
      <c r="D944">
        <v>323</v>
      </c>
      <c r="E944">
        <v>182</v>
      </c>
      <c r="F944">
        <v>139</v>
      </c>
    </row>
    <row r="945" spans="1:6">
      <c r="A945" s="111" t="s">
        <v>1191</v>
      </c>
      <c r="B945" s="3" t="s">
        <v>159</v>
      </c>
      <c r="C945" s="3" t="s">
        <v>44</v>
      </c>
      <c r="D945">
        <v>188</v>
      </c>
      <c r="E945">
        <v>99</v>
      </c>
      <c r="F945">
        <v>440</v>
      </c>
    </row>
    <row r="946" spans="1:6">
      <c r="A946" s="111" t="s">
        <v>1192</v>
      </c>
      <c r="B946" s="3" t="s">
        <v>97</v>
      </c>
      <c r="C946" s="3" t="s">
        <v>118</v>
      </c>
      <c r="D946">
        <v>251</v>
      </c>
      <c r="E946">
        <v>195</v>
      </c>
      <c r="F946">
        <v>219</v>
      </c>
    </row>
    <row r="947" spans="1:6">
      <c r="A947" s="111" t="s">
        <v>1193</v>
      </c>
      <c r="B947" s="3" t="s">
        <v>97</v>
      </c>
      <c r="C947" s="3" t="s">
        <v>266</v>
      </c>
      <c r="D947">
        <v>277</v>
      </c>
      <c r="E947">
        <v>220</v>
      </c>
      <c r="F947">
        <v>200</v>
      </c>
    </row>
    <row r="948" spans="1:6">
      <c r="A948" s="111" t="s">
        <v>1194</v>
      </c>
      <c r="B948" s="3" t="s">
        <v>97</v>
      </c>
      <c r="C948" s="3" t="s">
        <v>306</v>
      </c>
      <c r="D948">
        <v>277</v>
      </c>
      <c r="E948">
        <v>220</v>
      </c>
      <c r="F948">
        <v>200</v>
      </c>
    </row>
    <row r="949" spans="1:6">
      <c r="A949" s="111" t="s">
        <v>1195</v>
      </c>
      <c r="B949" s="3" t="s">
        <v>97</v>
      </c>
      <c r="C949" s="3" t="s">
        <v>44</v>
      </c>
      <c r="D949">
        <v>337</v>
      </c>
      <c r="E949">
        <v>196</v>
      </c>
      <c r="F949">
        <v>200</v>
      </c>
    </row>
    <row r="950" spans="1:6">
      <c r="A950" s="111" t="s">
        <v>1196</v>
      </c>
      <c r="B950" s="3" t="s">
        <v>306</v>
      </c>
      <c r="C950" s="3" t="s">
        <v>83</v>
      </c>
      <c r="D950">
        <v>246</v>
      </c>
      <c r="E950">
        <v>225</v>
      </c>
      <c r="F950">
        <v>190</v>
      </c>
    </row>
    <row r="951" spans="1:6">
      <c r="A951" s="111" t="s">
        <v>1197</v>
      </c>
      <c r="B951" s="3" t="s">
        <v>94</v>
      </c>
      <c r="C951" s="3" t="s">
        <v>266</v>
      </c>
      <c r="D951">
        <v>265</v>
      </c>
      <c r="E951">
        <v>190</v>
      </c>
      <c r="F951">
        <v>207</v>
      </c>
    </row>
    <row r="952" spans="1:6">
      <c r="A952" s="111" t="s">
        <v>1198</v>
      </c>
      <c r="B952" s="3" t="s">
        <v>274</v>
      </c>
      <c r="C952" s="3" t="s">
        <v>118</v>
      </c>
      <c r="D952">
        <v>145</v>
      </c>
      <c r="E952">
        <v>133</v>
      </c>
      <c r="F952">
        <v>167</v>
      </c>
    </row>
    <row r="953" spans="1:6">
      <c r="A953" s="111" t="s">
        <v>1199</v>
      </c>
      <c r="B953" s="3" t="s">
        <v>274</v>
      </c>
      <c r="C953" s="3" t="s">
        <v>44</v>
      </c>
      <c r="D953">
        <v>263</v>
      </c>
      <c r="E953">
        <v>159</v>
      </c>
      <c r="F953">
        <v>177</v>
      </c>
    </row>
    <row r="954" spans="1:6">
      <c r="A954" s="111" t="s">
        <v>1200</v>
      </c>
      <c r="B954" s="3" t="s">
        <v>38</v>
      </c>
      <c r="C954" s="3" t="s">
        <v>306</v>
      </c>
      <c r="D954">
        <v>213</v>
      </c>
      <c r="E954">
        <v>298</v>
      </c>
      <c r="F954">
        <v>156</v>
      </c>
    </row>
    <row r="955" spans="1:6">
      <c r="A955" s="111" t="s">
        <v>238</v>
      </c>
      <c r="B955" s="3" t="s">
        <v>100</v>
      </c>
      <c r="C955" s="3" t="s">
        <v>266</v>
      </c>
      <c r="D955">
        <v>315</v>
      </c>
      <c r="E955">
        <v>148</v>
      </c>
      <c r="F955">
        <v>142</v>
      </c>
    </row>
    <row r="956" spans="1:6">
      <c r="A956" s="111" t="s">
        <v>1201</v>
      </c>
      <c r="B956" s="3" t="s">
        <v>177</v>
      </c>
      <c r="C956" s="3" t="s">
        <v>118</v>
      </c>
      <c r="D956">
        <v>252</v>
      </c>
      <c r="E956">
        <v>177</v>
      </c>
      <c r="F956">
        <v>204</v>
      </c>
    </row>
    <row r="957" spans="1:6">
      <c r="A957" s="111" t="s">
        <v>1202</v>
      </c>
      <c r="B957" s="3" t="s">
        <v>306</v>
      </c>
      <c r="C957" s="3" t="s">
        <v>118</v>
      </c>
      <c r="D957">
        <v>118</v>
      </c>
      <c r="E957">
        <v>99</v>
      </c>
      <c r="F957">
        <v>130</v>
      </c>
    </row>
    <row r="958" spans="1:6">
      <c r="A958" s="111" t="s">
        <v>1203</v>
      </c>
      <c r="B958" s="3" t="s">
        <v>306</v>
      </c>
      <c r="C958" s="3" t="s">
        <v>118</v>
      </c>
      <c r="D958">
        <v>226</v>
      </c>
      <c r="E958">
        <v>190</v>
      </c>
      <c r="F958">
        <v>264</v>
      </c>
    </row>
    <row r="959" spans="1:6">
      <c r="A959" s="111" t="s">
        <v>1204</v>
      </c>
      <c r="B959" s="3" t="s">
        <v>166</v>
      </c>
      <c r="C959" s="3" t="s">
        <v>118</v>
      </c>
      <c r="D959">
        <v>122</v>
      </c>
      <c r="E959">
        <v>91</v>
      </c>
      <c r="F959">
        <v>137</v>
      </c>
    </row>
    <row r="960" spans="1:6">
      <c r="A960" s="111" t="s">
        <v>1205</v>
      </c>
      <c r="B960" s="3" t="s">
        <v>166</v>
      </c>
      <c r="C960" s="3" t="s">
        <v>118</v>
      </c>
      <c r="D960">
        <v>165</v>
      </c>
      <c r="E960">
        <v>134</v>
      </c>
      <c r="F960">
        <v>172</v>
      </c>
    </row>
    <row r="961" spans="1:6">
      <c r="A961" s="111" t="s">
        <v>1206</v>
      </c>
      <c r="B961" s="3" t="s">
        <v>166</v>
      </c>
      <c r="C961" s="3" t="s">
        <v>118</v>
      </c>
      <c r="D961">
        <v>239</v>
      </c>
      <c r="E961">
        <v>168</v>
      </c>
      <c r="F961">
        <v>225</v>
      </c>
    </row>
    <row r="962" spans="1:6">
      <c r="A962" s="111" t="s">
        <v>1207</v>
      </c>
      <c r="B962" s="3" t="s">
        <v>100</v>
      </c>
      <c r="C962" s="3" t="s">
        <v>118</v>
      </c>
      <c r="D962">
        <v>132</v>
      </c>
      <c r="E962">
        <v>79</v>
      </c>
      <c r="F962">
        <v>137</v>
      </c>
    </row>
    <row r="963" spans="1:6">
      <c r="A963" s="111" t="s">
        <v>14</v>
      </c>
      <c r="B963" s="3" t="s">
        <v>100</v>
      </c>
      <c r="C963" s="3" t="s">
        <v>118</v>
      </c>
      <c r="D963">
        <v>170</v>
      </c>
      <c r="E963">
        <v>125</v>
      </c>
      <c r="F963">
        <v>163</v>
      </c>
    </row>
    <row r="964" spans="1:6">
      <c r="A964" s="111" t="s">
        <v>1208</v>
      </c>
      <c r="B964" s="3" t="s">
        <v>100</v>
      </c>
      <c r="C964" s="3" t="s">
        <v>118</v>
      </c>
      <c r="D964">
        <v>238</v>
      </c>
      <c r="E964">
        <v>163</v>
      </c>
      <c r="F964">
        <v>190</v>
      </c>
    </row>
    <row r="965" spans="1:6">
      <c r="A965" s="111" t="s">
        <v>1209</v>
      </c>
      <c r="B965" s="3" t="s">
        <v>172</v>
      </c>
      <c r="C965" s="3" t="s">
        <v>118</v>
      </c>
      <c r="D965">
        <v>132</v>
      </c>
      <c r="E965">
        <v>79</v>
      </c>
      <c r="F965">
        <v>137</v>
      </c>
    </row>
    <row r="966" spans="1:6">
      <c r="A966" s="111" t="s">
        <v>1210</v>
      </c>
      <c r="B966" s="3" t="s">
        <v>172</v>
      </c>
      <c r="C966" s="3" t="s">
        <v>118</v>
      </c>
      <c r="D966">
        <v>186</v>
      </c>
      <c r="E966">
        <v>113</v>
      </c>
      <c r="F966">
        <v>163</v>
      </c>
    </row>
    <row r="967" spans="1:6">
      <c r="A967" s="111" t="s">
        <v>1211</v>
      </c>
      <c r="B967" s="3" t="s">
        <v>172</v>
      </c>
      <c r="C967" s="3" t="s">
        <v>118</v>
      </c>
      <c r="D967">
        <v>262</v>
      </c>
      <c r="E967">
        <v>142</v>
      </c>
      <c r="F967">
        <v>172</v>
      </c>
    </row>
    <row r="968" spans="1:6">
      <c r="A968" s="111" t="s">
        <v>1212</v>
      </c>
      <c r="B968" s="3" t="s">
        <v>169</v>
      </c>
      <c r="C968" s="3" t="s">
        <v>118</v>
      </c>
      <c r="D968">
        <v>95</v>
      </c>
      <c r="E968">
        <v>86</v>
      </c>
      <c r="F968">
        <v>172</v>
      </c>
    </row>
    <row r="969" spans="1:6">
      <c r="A969" s="111" t="s">
        <v>1213</v>
      </c>
      <c r="B969" s="3" t="s">
        <v>169</v>
      </c>
      <c r="C969" s="3" t="s">
        <v>118</v>
      </c>
      <c r="D969">
        <v>160</v>
      </c>
      <c r="E969">
        <v>156</v>
      </c>
      <c r="F969">
        <v>260</v>
      </c>
    </row>
    <row r="970" spans="1:6">
      <c r="A970" s="111" t="s">
        <v>1214</v>
      </c>
      <c r="B970" s="3" t="s">
        <v>96</v>
      </c>
      <c r="C970" s="3" t="s">
        <v>118</v>
      </c>
      <c r="D970">
        <v>88</v>
      </c>
      <c r="E970">
        <v>67</v>
      </c>
      <c r="F970">
        <v>116</v>
      </c>
    </row>
    <row r="971" spans="1:6">
      <c r="A971" s="111" t="s">
        <v>1215</v>
      </c>
      <c r="B971" s="3" t="s">
        <v>96</v>
      </c>
      <c r="C971" s="3" t="s">
        <v>118</v>
      </c>
      <c r="D971">
        <v>129</v>
      </c>
      <c r="E971">
        <v>110</v>
      </c>
      <c r="F971">
        <v>169</v>
      </c>
    </row>
    <row r="972" spans="1:6">
      <c r="A972" s="111" t="s">
        <v>1216</v>
      </c>
      <c r="B972" s="3" t="s">
        <v>96</v>
      </c>
      <c r="C972" s="3" t="s">
        <v>306</v>
      </c>
      <c r="D972">
        <v>163</v>
      </c>
      <c r="E972">
        <v>192</v>
      </c>
      <c r="F972">
        <v>221</v>
      </c>
    </row>
    <row r="973" spans="1:6">
      <c r="A973" s="111" t="s">
        <v>1217</v>
      </c>
      <c r="B973" s="3" t="s">
        <v>284</v>
      </c>
      <c r="C973" s="3" t="s">
        <v>118</v>
      </c>
      <c r="D973">
        <v>46</v>
      </c>
      <c r="E973">
        <v>67</v>
      </c>
      <c r="F973">
        <v>93</v>
      </c>
    </row>
    <row r="974" spans="1:6">
      <c r="A974" s="111" t="s">
        <v>1218</v>
      </c>
      <c r="B974" s="3" t="s">
        <v>284</v>
      </c>
      <c r="C974" s="3" t="s">
        <v>97</v>
      </c>
      <c r="D974">
        <v>87</v>
      </c>
      <c r="E974">
        <v>157</v>
      </c>
      <c r="F974">
        <v>137</v>
      </c>
    </row>
    <row r="975" spans="1:6">
      <c r="A975" s="111" t="s">
        <v>1219</v>
      </c>
      <c r="B975" s="3" t="s">
        <v>284</v>
      </c>
      <c r="C975" s="3" t="s">
        <v>97</v>
      </c>
      <c r="D975">
        <v>156</v>
      </c>
      <c r="E975">
        <v>240</v>
      </c>
      <c r="F975">
        <v>155</v>
      </c>
    </row>
    <row r="976" spans="1:6">
      <c r="A976" s="111" t="s">
        <v>1220</v>
      </c>
      <c r="B976" s="3" t="s">
        <v>159</v>
      </c>
      <c r="C976" s="3" t="s">
        <v>118</v>
      </c>
      <c r="D976">
        <v>85</v>
      </c>
      <c r="E976">
        <v>82</v>
      </c>
      <c r="F976">
        <v>120</v>
      </c>
    </row>
    <row r="977" spans="1:6">
      <c r="A977" s="111" t="s">
        <v>1221</v>
      </c>
      <c r="B977" s="3" t="s">
        <v>159</v>
      </c>
      <c r="C977" s="3" t="s">
        <v>118</v>
      </c>
      <c r="D977">
        <v>172</v>
      </c>
      <c r="E977">
        <v>164</v>
      </c>
      <c r="F977">
        <v>172</v>
      </c>
    </row>
    <row r="978" spans="1:6">
      <c r="A978" s="111" t="s">
        <v>1222</v>
      </c>
      <c r="B978" s="3" t="s">
        <v>166</v>
      </c>
      <c r="C978" s="3" t="s">
        <v>118</v>
      </c>
      <c r="D978">
        <v>70</v>
      </c>
      <c r="E978">
        <v>104</v>
      </c>
      <c r="F978">
        <v>120</v>
      </c>
    </row>
    <row r="979" spans="1:6">
      <c r="A979" s="111" t="s">
        <v>1223</v>
      </c>
      <c r="B979" s="3" t="s">
        <v>166</v>
      </c>
      <c r="C979" s="3" t="s">
        <v>118</v>
      </c>
      <c r="D979">
        <v>148</v>
      </c>
      <c r="E979">
        <v>211</v>
      </c>
      <c r="F979">
        <v>155</v>
      </c>
    </row>
    <row r="980" spans="1:6">
      <c r="A980" s="111" t="s">
        <v>1224</v>
      </c>
      <c r="B980" s="3" t="s">
        <v>169</v>
      </c>
      <c r="C980" s="3" t="s">
        <v>118</v>
      </c>
      <c r="D980">
        <v>76</v>
      </c>
      <c r="E980">
        <v>97</v>
      </c>
      <c r="F980">
        <v>123</v>
      </c>
    </row>
    <row r="981" spans="1:6">
      <c r="A981" s="111" t="s">
        <v>1225</v>
      </c>
      <c r="B981" s="3" t="s">
        <v>169</v>
      </c>
      <c r="C981" s="3" t="s">
        <v>118</v>
      </c>
      <c r="D981">
        <v>159</v>
      </c>
      <c r="E981">
        <v>198</v>
      </c>
      <c r="F981">
        <v>176</v>
      </c>
    </row>
    <row r="982" spans="1:6">
      <c r="A982" s="111" t="s">
        <v>1226</v>
      </c>
      <c r="B982" s="3" t="s">
        <v>172</v>
      </c>
      <c r="C982" s="3" t="s">
        <v>118</v>
      </c>
      <c r="D982">
        <v>114</v>
      </c>
      <c r="E982">
        <v>85</v>
      </c>
      <c r="F982">
        <v>137</v>
      </c>
    </row>
    <row r="983" spans="1:6">
      <c r="A983" s="111" t="s">
        <v>1227</v>
      </c>
      <c r="B983" s="3" t="s">
        <v>172</v>
      </c>
      <c r="C983" s="3" t="s">
        <v>38</v>
      </c>
      <c r="D983">
        <v>213</v>
      </c>
      <c r="E983">
        <v>164</v>
      </c>
      <c r="F983">
        <v>207</v>
      </c>
    </row>
    <row r="984" spans="1:6">
      <c r="A984" s="111" t="s">
        <v>1228</v>
      </c>
      <c r="B984" s="3" t="s">
        <v>177</v>
      </c>
      <c r="C984" s="3" t="s">
        <v>118</v>
      </c>
      <c r="D984">
        <v>80</v>
      </c>
      <c r="E984">
        <v>90</v>
      </c>
      <c r="F984">
        <v>153</v>
      </c>
    </row>
    <row r="985" spans="1:6">
      <c r="A985" s="111" t="s">
        <v>1229</v>
      </c>
      <c r="B985" s="3" t="s">
        <v>177</v>
      </c>
      <c r="C985" s="3" t="s">
        <v>118</v>
      </c>
      <c r="D985">
        <v>197</v>
      </c>
      <c r="E985">
        <v>131</v>
      </c>
      <c r="F985">
        <v>170</v>
      </c>
    </row>
    <row r="986" spans="1:6">
      <c r="A986" s="111" t="s">
        <v>1230</v>
      </c>
      <c r="B986" s="3" t="s">
        <v>38</v>
      </c>
      <c r="C986" s="3" t="s">
        <v>118</v>
      </c>
      <c r="D986">
        <v>73</v>
      </c>
      <c r="E986">
        <v>91</v>
      </c>
      <c r="F986">
        <v>102</v>
      </c>
    </row>
    <row r="987" spans="1:6">
      <c r="A987" s="111" t="s">
        <v>1231</v>
      </c>
      <c r="B987" s="3" t="s">
        <v>38</v>
      </c>
      <c r="C987" s="3" t="s">
        <v>100</v>
      </c>
      <c r="D987">
        <v>114</v>
      </c>
      <c r="E987">
        <v>157</v>
      </c>
      <c r="F987">
        <v>190</v>
      </c>
    </row>
    <row r="988" spans="1:6">
      <c r="A988" s="111" t="s">
        <v>1232</v>
      </c>
      <c r="B988" s="3" t="s">
        <v>38</v>
      </c>
      <c r="C988" s="3" t="s">
        <v>100</v>
      </c>
      <c r="D988">
        <v>146</v>
      </c>
      <c r="E988">
        <v>198</v>
      </c>
      <c r="F988">
        <v>242</v>
      </c>
    </row>
    <row r="989" spans="1:6">
      <c r="A989" s="111" t="s">
        <v>1233</v>
      </c>
      <c r="B989" s="3" t="s">
        <v>166</v>
      </c>
      <c r="C989" s="3" t="s">
        <v>44</v>
      </c>
      <c r="D989">
        <v>71</v>
      </c>
      <c r="E989">
        <v>116</v>
      </c>
      <c r="F989">
        <v>120</v>
      </c>
    </row>
    <row r="990" spans="1:6">
      <c r="A990" s="111" t="s">
        <v>1234</v>
      </c>
      <c r="B990" s="3" t="s">
        <v>166</v>
      </c>
      <c r="C990" s="3" t="s">
        <v>44</v>
      </c>
      <c r="D990">
        <v>214</v>
      </c>
      <c r="E990">
        <v>144</v>
      </c>
      <c r="F990">
        <v>172</v>
      </c>
    </row>
    <row r="991" spans="1:6">
      <c r="A991" s="111" t="s">
        <v>1235</v>
      </c>
      <c r="B991" s="3" t="s">
        <v>166</v>
      </c>
      <c r="C991" s="3" t="s">
        <v>44</v>
      </c>
      <c r="D991">
        <v>178</v>
      </c>
      <c r="E991">
        <v>146</v>
      </c>
      <c r="F991">
        <v>242</v>
      </c>
    </row>
    <row r="992" spans="1:6">
      <c r="A992" s="111" t="s">
        <v>1236</v>
      </c>
      <c r="B992" s="3" t="s">
        <v>73</v>
      </c>
      <c r="C992" s="3" t="s">
        <v>118</v>
      </c>
      <c r="D992">
        <v>103</v>
      </c>
      <c r="E992">
        <v>123</v>
      </c>
      <c r="F992">
        <v>141</v>
      </c>
    </row>
    <row r="993" spans="1:6">
      <c r="A993" s="111" t="s">
        <v>1237</v>
      </c>
      <c r="B993" s="3" t="s">
        <v>73</v>
      </c>
      <c r="C993" s="3" t="s">
        <v>118</v>
      </c>
      <c r="D993">
        <v>202</v>
      </c>
      <c r="E993">
        <v>207</v>
      </c>
      <c r="F993">
        <v>176</v>
      </c>
    </row>
    <row r="994" spans="1:6">
      <c r="A994" s="111" t="s">
        <v>1238</v>
      </c>
      <c r="B994" s="3" t="s">
        <v>96</v>
      </c>
      <c r="C994" s="3" t="s">
        <v>172</v>
      </c>
      <c r="D994">
        <v>173</v>
      </c>
      <c r="E994">
        <v>163</v>
      </c>
      <c r="F994">
        <v>172</v>
      </c>
    </row>
    <row r="995" spans="1:6">
      <c r="A995" s="111" t="s">
        <v>1239</v>
      </c>
      <c r="B995" s="3" t="s">
        <v>172</v>
      </c>
      <c r="C995" s="3" t="s">
        <v>118</v>
      </c>
      <c r="D995">
        <v>118</v>
      </c>
      <c r="E995">
        <v>72</v>
      </c>
      <c r="F995">
        <v>121</v>
      </c>
    </row>
    <row r="996" spans="1:6">
      <c r="A996" s="111" t="s">
        <v>1240</v>
      </c>
      <c r="B996" s="3" t="s">
        <v>172</v>
      </c>
      <c r="C996" s="3" t="s">
        <v>118</v>
      </c>
      <c r="D996">
        <v>258</v>
      </c>
      <c r="E996">
        <v>127</v>
      </c>
      <c r="F996">
        <v>156</v>
      </c>
    </row>
    <row r="997" spans="1:6">
      <c r="A997" s="111" t="s">
        <v>1241</v>
      </c>
      <c r="B997" s="3" t="s">
        <v>177</v>
      </c>
      <c r="C997" s="3" t="s">
        <v>274</v>
      </c>
      <c r="D997">
        <v>97</v>
      </c>
      <c r="E997">
        <v>65</v>
      </c>
      <c r="F997">
        <v>120</v>
      </c>
    </row>
    <row r="998" spans="1:6">
      <c r="A998" s="111" t="s">
        <v>1242</v>
      </c>
      <c r="B998" s="3" t="s">
        <v>177</v>
      </c>
      <c r="C998" s="3" t="s">
        <v>274</v>
      </c>
      <c r="D998">
        <v>224</v>
      </c>
      <c r="E998">
        <v>140</v>
      </c>
      <c r="F998">
        <v>181</v>
      </c>
    </row>
    <row r="999" spans="1:6">
      <c r="A999" s="111" t="s">
        <v>1243</v>
      </c>
      <c r="B999" s="3" t="s">
        <v>177</v>
      </c>
      <c r="C999" s="3" t="s">
        <v>274</v>
      </c>
      <c r="D999">
        <v>224</v>
      </c>
      <c r="E999">
        <v>140</v>
      </c>
      <c r="F999">
        <v>181</v>
      </c>
    </row>
    <row r="1000" spans="1:6">
      <c r="A1000" s="111" t="s">
        <v>1244</v>
      </c>
      <c r="B1000" s="3" t="s">
        <v>177</v>
      </c>
      <c r="C1000" s="3" t="s">
        <v>274</v>
      </c>
      <c r="D1000">
        <v>224</v>
      </c>
      <c r="E1000">
        <v>140</v>
      </c>
      <c r="F1000">
        <v>181</v>
      </c>
    </row>
    <row r="1001" spans="1:6">
      <c r="A1001" s="111" t="s">
        <v>1245</v>
      </c>
      <c r="B1001" s="3" t="s">
        <v>100</v>
      </c>
      <c r="C1001" s="3" t="s">
        <v>284</v>
      </c>
      <c r="D1001">
        <v>118</v>
      </c>
      <c r="E1001">
        <v>90</v>
      </c>
      <c r="F1001">
        <v>137</v>
      </c>
    </row>
    <row r="1002" spans="1:6">
      <c r="A1002" s="111" t="s">
        <v>1246</v>
      </c>
      <c r="B1002" s="3" t="s">
        <v>100</v>
      </c>
      <c r="C1002" s="3" t="s">
        <v>284</v>
      </c>
      <c r="D1002">
        <v>220</v>
      </c>
      <c r="E1002">
        <v>158</v>
      </c>
      <c r="F1002">
        <v>225</v>
      </c>
    </row>
    <row r="1003" spans="1:6">
      <c r="A1003" s="111" t="s">
        <v>1247</v>
      </c>
      <c r="B1003" s="3" t="s">
        <v>94</v>
      </c>
      <c r="C1003" s="3" t="s">
        <v>118</v>
      </c>
      <c r="D1003">
        <v>121</v>
      </c>
      <c r="E1003">
        <v>103</v>
      </c>
      <c r="F1003">
        <v>137</v>
      </c>
    </row>
    <row r="1004" spans="1:6">
      <c r="A1004" s="111" t="s">
        <v>1248</v>
      </c>
      <c r="B1004" s="3" t="s">
        <v>94</v>
      </c>
      <c r="C1004" s="3" t="s">
        <v>118</v>
      </c>
      <c r="D1004">
        <v>209</v>
      </c>
      <c r="E1004">
        <v>162</v>
      </c>
      <c r="F1004">
        <v>190</v>
      </c>
    </row>
    <row r="1005" spans="1:6">
      <c r="A1005" s="111" t="s">
        <v>1249</v>
      </c>
      <c r="B1005" s="3" t="s">
        <v>266</v>
      </c>
      <c r="C1005" s="3" t="s">
        <v>118</v>
      </c>
      <c r="D1005">
        <v>134</v>
      </c>
      <c r="E1005">
        <v>96</v>
      </c>
      <c r="F1005">
        <v>120</v>
      </c>
    </row>
    <row r="1006" spans="1:6">
      <c r="A1006" s="111" t="s">
        <v>1250</v>
      </c>
      <c r="B1006" s="3" t="s">
        <v>266</v>
      </c>
      <c r="C1006" s="3" t="s">
        <v>118</v>
      </c>
      <c r="D1006">
        <v>248</v>
      </c>
      <c r="E1006">
        <v>189</v>
      </c>
      <c r="F1006">
        <v>155</v>
      </c>
    </row>
    <row r="1007" spans="1:6">
      <c r="A1007" s="111" t="s">
        <v>1251</v>
      </c>
      <c r="B1007" s="3" t="s">
        <v>97</v>
      </c>
      <c r="C1007" s="3" t="s">
        <v>118</v>
      </c>
      <c r="D1007">
        <v>98</v>
      </c>
      <c r="E1007">
        <v>93</v>
      </c>
      <c r="F1007">
        <v>123</v>
      </c>
    </row>
    <row r="1008" spans="1:6">
      <c r="A1008" s="111" t="s">
        <v>1252</v>
      </c>
      <c r="B1008" s="3" t="s">
        <v>97</v>
      </c>
      <c r="C1008" s="3" t="s">
        <v>118</v>
      </c>
      <c r="D1008">
        <v>153</v>
      </c>
      <c r="E1008">
        <v>133</v>
      </c>
      <c r="F1008">
        <v>149</v>
      </c>
    </row>
    <row r="1009" spans="1:6">
      <c r="A1009" s="111" t="s">
        <v>1253</v>
      </c>
      <c r="B1009" s="3" t="s">
        <v>97</v>
      </c>
      <c r="C1009" s="3" t="s">
        <v>83</v>
      </c>
      <c r="D1009">
        <v>237</v>
      </c>
      <c r="E1009">
        <v>182</v>
      </c>
      <c r="F1009">
        <v>149</v>
      </c>
    </row>
    <row r="1010" spans="1:6">
      <c r="A1010" s="111" t="s">
        <v>1254</v>
      </c>
      <c r="B1010" s="3" t="s">
        <v>159</v>
      </c>
      <c r="C1010" s="3" t="s">
        <v>83</v>
      </c>
      <c r="D1010">
        <v>103</v>
      </c>
      <c r="E1010">
        <v>69</v>
      </c>
      <c r="F1010">
        <v>128</v>
      </c>
    </row>
    <row r="1011" spans="1:6">
      <c r="A1011" s="111" t="s">
        <v>1255</v>
      </c>
      <c r="B1011" s="3" t="s">
        <v>159</v>
      </c>
      <c r="C1011" s="3" t="s">
        <v>83</v>
      </c>
      <c r="D1011">
        <v>145</v>
      </c>
      <c r="E1011">
        <v>102</v>
      </c>
      <c r="F1011">
        <v>163</v>
      </c>
    </row>
    <row r="1012" spans="1:6">
      <c r="A1012" s="111" t="s">
        <v>1256</v>
      </c>
      <c r="B1012" s="3" t="s">
        <v>159</v>
      </c>
      <c r="C1012" s="3" t="s">
        <v>83</v>
      </c>
      <c r="D1012">
        <v>227</v>
      </c>
      <c r="E1012">
        <v>139</v>
      </c>
      <c r="F1012">
        <v>216</v>
      </c>
    </row>
    <row r="1013" spans="1:6">
      <c r="A1013" s="111" t="s">
        <v>1257</v>
      </c>
      <c r="B1013" s="3" t="s">
        <v>159</v>
      </c>
      <c r="C1013" s="3" t="s">
        <v>169</v>
      </c>
      <c r="D1013">
        <v>180</v>
      </c>
      <c r="E1013">
        <v>194</v>
      </c>
      <c r="F1013">
        <v>212</v>
      </c>
    </row>
    <row r="1014" spans="1:6">
      <c r="A1014" s="111" t="s">
        <v>1258</v>
      </c>
      <c r="B1014" s="3" t="s">
        <v>306</v>
      </c>
      <c r="C1014" s="3" t="s">
        <v>118</v>
      </c>
      <c r="D1014">
        <v>195</v>
      </c>
      <c r="E1014">
        <v>162</v>
      </c>
      <c r="F1014">
        <v>172</v>
      </c>
    </row>
    <row r="1015" spans="1:6">
      <c r="A1015" s="111" t="s">
        <v>1259</v>
      </c>
      <c r="B1015" s="3" t="s">
        <v>266</v>
      </c>
      <c r="C1015" s="3" t="s">
        <v>118</v>
      </c>
      <c r="D1015">
        <v>253</v>
      </c>
      <c r="E1015">
        <v>182</v>
      </c>
      <c r="F1015">
        <v>155</v>
      </c>
    </row>
    <row r="1016" spans="1:6">
      <c r="A1016" s="111" t="s">
        <v>1260</v>
      </c>
      <c r="B1016" s="3" t="s">
        <v>94</v>
      </c>
      <c r="C1016" s="3" t="s">
        <v>118</v>
      </c>
      <c r="D1016">
        <v>248</v>
      </c>
      <c r="E1016">
        <v>176</v>
      </c>
      <c r="F1016">
        <v>158</v>
      </c>
    </row>
    <row r="1017" spans="1:6">
      <c r="A1017" s="111" t="s">
        <v>1261</v>
      </c>
      <c r="B1017" s="3" t="s">
        <v>98</v>
      </c>
      <c r="C1017" s="3" t="s">
        <v>97</v>
      </c>
      <c r="D1017">
        <v>212</v>
      </c>
      <c r="E1017">
        <v>179</v>
      </c>
      <c r="F1017">
        <v>190</v>
      </c>
    </row>
    <row r="1018" spans="1:6">
      <c r="A1018" s="111" t="s">
        <v>1262</v>
      </c>
      <c r="B1018" s="3" t="s">
        <v>73</v>
      </c>
      <c r="C1018" s="3" t="s">
        <v>266</v>
      </c>
      <c r="D1018">
        <v>163</v>
      </c>
      <c r="E1018">
        <v>237</v>
      </c>
      <c r="F1018">
        <v>151</v>
      </c>
    </row>
    <row r="1019" spans="1:6">
      <c r="A1019" s="111" t="s">
        <v>1263</v>
      </c>
      <c r="B1019" s="3" t="s">
        <v>83</v>
      </c>
      <c r="C1019" s="3" t="s">
        <v>118</v>
      </c>
      <c r="D1019">
        <v>90</v>
      </c>
      <c r="E1019">
        <v>97</v>
      </c>
      <c r="F1019">
        <v>128</v>
      </c>
    </row>
    <row r="1020" spans="1:6">
      <c r="A1020" s="111" t="s">
        <v>1264</v>
      </c>
      <c r="B1020" s="3" t="s">
        <v>83</v>
      </c>
      <c r="C1020" s="3" t="s">
        <v>118</v>
      </c>
      <c r="D1020">
        <v>203</v>
      </c>
      <c r="E1020">
        <v>203</v>
      </c>
      <c r="F1020">
        <v>163</v>
      </c>
    </row>
    <row r="1021" spans="1:6">
      <c r="A1021" s="111" t="s">
        <v>1265</v>
      </c>
      <c r="B1021" s="3" t="s">
        <v>94</v>
      </c>
      <c r="C1021" s="3" t="s">
        <v>118</v>
      </c>
      <c r="D1021">
        <v>193</v>
      </c>
      <c r="E1021">
        <v>170</v>
      </c>
      <c r="F1021">
        <v>163</v>
      </c>
    </row>
    <row r="1022" spans="1:6">
      <c r="A1022" s="111" t="s">
        <v>1266</v>
      </c>
      <c r="B1022" s="3" t="s">
        <v>177</v>
      </c>
      <c r="C1022" s="3" t="s">
        <v>118</v>
      </c>
      <c r="D1022">
        <v>176</v>
      </c>
      <c r="E1022">
        <v>161</v>
      </c>
      <c r="F1022">
        <v>134</v>
      </c>
    </row>
    <row r="1023" spans="1:6">
      <c r="A1023" s="111" t="s">
        <v>1267</v>
      </c>
      <c r="B1023" s="3" t="s">
        <v>98</v>
      </c>
      <c r="C1023" s="3" t="s">
        <v>284</v>
      </c>
      <c r="D1023">
        <v>76</v>
      </c>
      <c r="E1023">
        <v>59</v>
      </c>
      <c r="F1023">
        <v>102</v>
      </c>
    </row>
    <row r="1024" spans="1:6">
      <c r="A1024" s="111" t="s">
        <v>1268</v>
      </c>
      <c r="B1024" s="3" t="s">
        <v>98</v>
      </c>
      <c r="C1024" s="3" t="s">
        <v>284</v>
      </c>
      <c r="D1024">
        <v>230</v>
      </c>
      <c r="E1024">
        <v>155</v>
      </c>
      <c r="F1024">
        <v>172</v>
      </c>
    </row>
    <row r="1025" spans="1:6">
      <c r="A1025" s="111" t="s">
        <v>1269</v>
      </c>
      <c r="B1025" s="3" t="s">
        <v>38</v>
      </c>
      <c r="C1025" s="3" t="s">
        <v>118</v>
      </c>
      <c r="D1025">
        <v>222</v>
      </c>
      <c r="E1025">
        <v>182</v>
      </c>
      <c r="F1025">
        <v>225</v>
      </c>
    </row>
    <row r="1026" spans="1:6">
      <c r="A1026" s="111" t="s">
        <v>1270</v>
      </c>
      <c r="B1026" s="3" t="s">
        <v>98</v>
      </c>
      <c r="C1026" s="3" t="s">
        <v>118</v>
      </c>
      <c r="D1026">
        <v>148</v>
      </c>
      <c r="E1026">
        <v>195</v>
      </c>
      <c r="F1026">
        <v>181</v>
      </c>
    </row>
    <row r="1027" spans="1:6">
      <c r="A1027" s="111" t="s">
        <v>1271</v>
      </c>
      <c r="B1027" s="3" t="s">
        <v>98</v>
      </c>
      <c r="C1027" s="3" t="s">
        <v>118</v>
      </c>
      <c r="D1027">
        <v>148</v>
      </c>
      <c r="E1027">
        <v>195</v>
      </c>
      <c r="F1027">
        <v>181</v>
      </c>
    </row>
    <row r="1028" spans="1:6">
      <c r="A1028" s="111" t="s">
        <v>1272</v>
      </c>
      <c r="B1028" s="3" t="s">
        <v>98</v>
      </c>
      <c r="C1028" s="3" t="s">
        <v>118</v>
      </c>
      <c r="D1028">
        <v>173</v>
      </c>
      <c r="E1028">
        <v>139</v>
      </c>
      <c r="F1028">
        <v>181</v>
      </c>
    </row>
    <row r="1029" spans="1:6">
      <c r="A1029" s="111" t="s">
        <v>1273</v>
      </c>
      <c r="B1029" s="3" t="s">
        <v>97</v>
      </c>
      <c r="C1029" s="3" t="s">
        <v>169</v>
      </c>
      <c r="D1029">
        <v>184</v>
      </c>
      <c r="E1029">
        <v>184</v>
      </c>
      <c r="F1029">
        <v>172</v>
      </c>
    </row>
    <row r="1030" spans="1:6">
      <c r="A1030" s="111" t="s">
        <v>1274</v>
      </c>
      <c r="B1030" s="3" t="s">
        <v>97</v>
      </c>
      <c r="C1030" s="3" t="s">
        <v>169</v>
      </c>
      <c r="D1030">
        <v>208</v>
      </c>
      <c r="E1030">
        <v>166</v>
      </c>
      <c r="F1030">
        <v>155</v>
      </c>
    </row>
    <row r="1031" spans="1:6">
      <c r="A1031" s="111" t="s">
        <v>1275</v>
      </c>
      <c r="B1031" s="3" t="s">
        <v>177</v>
      </c>
      <c r="C1031" s="3" t="s">
        <v>159</v>
      </c>
      <c r="D1031">
        <v>192</v>
      </c>
      <c r="E1031">
        <v>121</v>
      </c>
      <c r="F1031">
        <v>151</v>
      </c>
    </row>
    <row r="1032" spans="1:6">
      <c r="A1032" s="111" t="s">
        <v>1276</v>
      </c>
      <c r="B1032" s="3" t="s">
        <v>177</v>
      </c>
      <c r="C1032" s="3" t="s">
        <v>159</v>
      </c>
      <c r="D1032">
        <v>192</v>
      </c>
      <c r="E1032">
        <v>121</v>
      </c>
      <c r="F1032">
        <v>151</v>
      </c>
    </row>
    <row r="1033" spans="1:6">
      <c r="A1033" s="111" t="s">
        <v>1277</v>
      </c>
      <c r="B1033" s="3" t="s">
        <v>306</v>
      </c>
      <c r="C1033" s="3" t="s">
        <v>118</v>
      </c>
      <c r="D1033">
        <v>140</v>
      </c>
      <c r="E1033">
        <v>91</v>
      </c>
      <c r="F1033">
        <v>176</v>
      </c>
    </row>
    <row r="1034" spans="1:6">
      <c r="A1034" s="111" t="s">
        <v>1278</v>
      </c>
      <c r="B1034" s="3" t="s">
        <v>306</v>
      </c>
      <c r="C1034" s="3" t="s">
        <v>118</v>
      </c>
      <c r="D1034">
        <v>226</v>
      </c>
      <c r="E1034">
        <v>126</v>
      </c>
      <c r="F1034">
        <v>263</v>
      </c>
    </row>
    <row r="1035" spans="1:6">
      <c r="A1035" s="111" t="s">
        <v>1279</v>
      </c>
      <c r="B1035" s="3" t="s">
        <v>177</v>
      </c>
      <c r="C1035" s="3" t="s">
        <v>44</v>
      </c>
      <c r="D1035">
        <v>195</v>
      </c>
      <c r="E1035">
        <v>165</v>
      </c>
      <c r="F1035">
        <v>207</v>
      </c>
    </row>
    <row r="1036" spans="1:6">
      <c r="A1036" s="111" t="s">
        <v>1280</v>
      </c>
      <c r="B1036" s="3" t="s">
        <v>177</v>
      </c>
      <c r="C1036" s="3" t="s">
        <v>98</v>
      </c>
      <c r="D1036">
        <v>190</v>
      </c>
      <c r="E1036">
        <v>166</v>
      </c>
      <c r="F1036">
        <v>207</v>
      </c>
    </row>
    <row r="1037" spans="1:6">
      <c r="A1037" s="111" t="s">
        <v>1281</v>
      </c>
      <c r="B1037" s="3" t="s">
        <v>172</v>
      </c>
      <c r="C1037" s="3" t="s">
        <v>44</v>
      </c>
      <c r="D1037">
        <v>175</v>
      </c>
      <c r="E1037">
        <v>185</v>
      </c>
      <c r="F1037">
        <v>207</v>
      </c>
    </row>
    <row r="1038" spans="1:6">
      <c r="A1038" s="111" t="s">
        <v>1282</v>
      </c>
      <c r="B1038" s="3" t="s">
        <v>172</v>
      </c>
      <c r="C1038" s="3" t="s">
        <v>98</v>
      </c>
      <c r="D1038">
        <v>171</v>
      </c>
      <c r="E1038">
        <v>185</v>
      </c>
      <c r="F1038">
        <v>207</v>
      </c>
    </row>
    <row r="1039" spans="1:6">
      <c r="A1039" s="111" t="s">
        <v>1283</v>
      </c>
      <c r="B1039" s="3" t="s">
        <v>306</v>
      </c>
      <c r="C1039" s="3" t="s">
        <v>44</v>
      </c>
      <c r="D1039">
        <v>239</v>
      </c>
      <c r="E1039">
        <v>185</v>
      </c>
      <c r="F1039">
        <v>172</v>
      </c>
    </row>
    <row r="1040" spans="1:6">
      <c r="A1040" s="111" t="s">
        <v>1284</v>
      </c>
      <c r="B1040" s="3" t="s">
        <v>44</v>
      </c>
      <c r="C1040" s="3" t="s">
        <v>266</v>
      </c>
      <c r="D1040">
        <v>117</v>
      </c>
      <c r="E1040">
        <v>61</v>
      </c>
      <c r="F1040">
        <v>99</v>
      </c>
    </row>
    <row r="1041" spans="1:6">
      <c r="A1041" s="111" t="s">
        <v>1285</v>
      </c>
      <c r="B1041" s="3" t="s">
        <v>44</v>
      </c>
      <c r="C1041" s="3" t="s">
        <v>266</v>
      </c>
      <c r="D1041">
        <v>163</v>
      </c>
      <c r="E1041">
        <v>105</v>
      </c>
      <c r="F1041">
        <v>169</v>
      </c>
    </row>
    <row r="1042" spans="1:6">
      <c r="A1042" s="111" t="s">
        <v>1286</v>
      </c>
      <c r="B1042" s="3" t="s">
        <v>44</v>
      </c>
      <c r="C1042" s="3" t="s">
        <v>266</v>
      </c>
      <c r="D1042">
        <v>266</v>
      </c>
      <c r="E1042">
        <v>170</v>
      </c>
      <c r="F1042">
        <v>204</v>
      </c>
    </row>
    <row r="1043" spans="1:6">
      <c r="A1043" s="111" t="s">
        <v>87</v>
      </c>
      <c r="B1043" s="3" t="s">
        <v>83</v>
      </c>
      <c r="C1043" s="3" t="s">
        <v>306</v>
      </c>
      <c r="D1043">
        <v>332</v>
      </c>
      <c r="E1043">
        <v>240</v>
      </c>
      <c r="F1043">
        <v>192</v>
      </c>
    </row>
    <row r="1044" spans="1:6">
      <c r="A1044" s="111" t="s">
        <v>1287</v>
      </c>
      <c r="B1044" s="3" t="s">
        <v>83</v>
      </c>
      <c r="C1044" s="3" t="s">
        <v>118</v>
      </c>
      <c r="D1044">
        <v>254</v>
      </c>
      <c r="E1044">
        <v>236</v>
      </c>
      <c r="F1044">
        <v>192</v>
      </c>
    </row>
    <row r="1045" spans="1:6">
      <c r="A1045" s="111" t="s">
        <v>1450</v>
      </c>
      <c r="B1045" s="3" t="s">
        <v>94</v>
      </c>
      <c r="C1045" s="3" t="s">
        <v>306</v>
      </c>
      <c r="D1045">
        <v>250</v>
      </c>
      <c r="E1045">
        <v>292</v>
      </c>
      <c r="F1045">
        <v>192</v>
      </c>
    </row>
    <row r="1046" spans="1:6">
      <c r="A1046" s="111" t="s">
        <v>1288</v>
      </c>
      <c r="B1046" s="3" t="s">
        <v>94</v>
      </c>
      <c r="C1046" s="3" t="s">
        <v>118</v>
      </c>
      <c r="D1046">
        <v>254</v>
      </c>
      <c r="E1046">
        <v>236</v>
      </c>
      <c r="F1046">
        <v>192</v>
      </c>
    </row>
    <row r="1047" spans="1:6">
      <c r="A1047" s="111" t="s">
        <v>133</v>
      </c>
      <c r="B1047" s="3" t="s">
        <v>274</v>
      </c>
      <c r="C1047" s="3" t="s">
        <v>44</v>
      </c>
      <c r="D1047">
        <v>278</v>
      </c>
      <c r="E1047">
        <v>192</v>
      </c>
      <c r="F1047">
        <v>268</v>
      </c>
    </row>
    <row r="1048" spans="1:6">
      <c r="A1048" s="111" t="s">
        <v>1289</v>
      </c>
      <c r="B1048" s="3" t="s">
        <v>274</v>
      </c>
      <c r="C1048" s="3" t="s">
        <v>44</v>
      </c>
      <c r="D1048">
        <v>251</v>
      </c>
      <c r="E1048">
        <v>505</v>
      </c>
      <c r="F1048">
        <v>452</v>
      </c>
    </row>
    <row r="1049" spans="1:6">
      <c r="A1049" s="111" t="s">
        <v>1290</v>
      </c>
      <c r="B1049" s="3" t="s">
        <v>94</v>
      </c>
      <c r="C1049" s="3" t="s">
        <v>118</v>
      </c>
      <c r="D1049">
        <v>170</v>
      </c>
      <c r="E1049">
        <v>112</v>
      </c>
      <c r="F1049">
        <v>155</v>
      </c>
    </row>
    <row r="1050" spans="1:6">
      <c r="A1050" s="111" t="s">
        <v>1291</v>
      </c>
      <c r="B1050" s="3" t="s">
        <v>94</v>
      </c>
      <c r="C1050" s="3" t="s">
        <v>172</v>
      </c>
      <c r="D1050">
        <v>254</v>
      </c>
      <c r="E1050">
        <v>177</v>
      </c>
      <c r="F1050">
        <v>225</v>
      </c>
    </row>
    <row r="1051" spans="1:6">
      <c r="A1051" s="111" t="s">
        <v>1292</v>
      </c>
      <c r="B1051" s="3" t="s">
        <v>94</v>
      </c>
      <c r="C1051" s="3" t="s">
        <v>159</v>
      </c>
      <c r="D1051">
        <v>254</v>
      </c>
      <c r="E1051">
        <v>177</v>
      </c>
      <c r="F1051">
        <v>225</v>
      </c>
    </row>
    <row r="1052" spans="1:6">
      <c r="A1052" s="111" t="s">
        <v>1293</v>
      </c>
      <c r="B1052" s="3" t="s">
        <v>159</v>
      </c>
      <c r="C1052" s="3" t="s">
        <v>166</v>
      </c>
      <c r="D1052">
        <v>242</v>
      </c>
      <c r="E1052">
        <v>215</v>
      </c>
      <c r="F1052">
        <v>233</v>
      </c>
    </row>
    <row r="1053" spans="1:6">
      <c r="A1053" s="111" t="s">
        <v>1294</v>
      </c>
      <c r="B1053" s="3" t="s">
        <v>177</v>
      </c>
      <c r="C1053" s="3" t="s">
        <v>118</v>
      </c>
      <c r="D1053">
        <v>250</v>
      </c>
      <c r="E1053">
        <v>125</v>
      </c>
      <c r="F1053">
        <v>190</v>
      </c>
    </row>
    <row r="1054" spans="1:6">
      <c r="A1054" s="111" t="s">
        <v>1295</v>
      </c>
      <c r="B1054" s="3" t="s">
        <v>44</v>
      </c>
      <c r="C1054" s="3" t="s">
        <v>118</v>
      </c>
      <c r="D1054">
        <v>202</v>
      </c>
      <c r="E1054">
        <v>101</v>
      </c>
      <c r="F1054">
        <v>400</v>
      </c>
    </row>
    <row r="1055" spans="1:6">
      <c r="A1055" s="111" t="s">
        <v>1296</v>
      </c>
      <c r="B1055" s="3" t="s">
        <v>98</v>
      </c>
      <c r="C1055" s="3" t="s">
        <v>118</v>
      </c>
      <c r="D1055">
        <v>246</v>
      </c>
      <c r="E1055">
        <v>223</v>
      </c>
      <c r="F1055">
        <v>225</v>
      </c>
    </row>
    <row r="1056" spans="1:6">
      <c r="A1056" s="111" t="s">
        <v>1297</v>
      </c>
      <c r="B1056" s="3" t="s">
        <v>266</v>
      </c>
      <c r="C1056" s="3" t="s">
        <v>118</v>
      </c>
      <c r="D1056">
        <v>273</v>
      </c>
      <c r="E1056">
        <v>146</v>
      </c>
      <c r="F1056">
        <v>205</v>
      </c>
    </row>
    <row r="1057" spans="1:6">
      <c r="A1057" s="111" t="s">
        <v>1298</v>
      </c>
      <c r="B1057" s="3" t="s">
        <v>97</v>
      </c>
      <c r="C1057" s="3" t="s">
        <v>166</v>
      </c>
      <c r="D1057">
        <v>162</v>
      </c>
      <c r="E1057">
        <v>162</v>
      </c>
      <c r="F1057">
        <v>225</v>
      </c>
    </row>
    <row r="1058" spans="1:6">
      <c r="A1058" s="111" t="s">
        <v>1299</v>
      </c>
      <c r="B1058" s="3" t="s">
        <v>97</v>
      </c>
      <c r="C1058" s="3" t="s">
        <v>98</v>
      </c>
      <c r="D1058">
        <v>268</v>
      </c>
      <c r="E1058">
        <v>246</v>
      </c>
      <c r="F1058">
        <v>205</v>
      </c>
    </row>
    <row r="1059" spans="1:6">
      <c r="A1059" s="111" t="s">
        <v>1300</v>
      </c>
      <c r="B1059" s="3" t="s">
        <v>169</v>
      </c>
      <c r="C1059" s="3" t="s">
        <v>97</v>
      </c>
      <c r="D1059">
        <v>206</v>
      </c>
      <c r="E1059">
        <v>145</v>
      </c>
      <c r="F1059">
        <v>230</v>
      </c>
    </row>
    <row r="1060" spans="1:6">
      <c r="A1060" s="111" t="s">
        <v>1301</v>
      </c>
      <c r="B1060" s="3" t="s">
        <v>284</v>
      </c>
      <c r="C1060" s="3" t="s">
        <v>38</v>
      </c>
      <c r="D1060">
        <v>253</v>
      </c>
      <c r="E1060">
        <v>174</v>
      </c>
      <c r="F1060">
        <v>172</v>
      </c>
    </row>
    <row r="1061" spans="1:6">
      <c r="A1061" s="111" t="s">
        <v>1302</v>
      </c>
      <c r="B1061" s="3" t="s">
        <v>73</v>
      </c>
      <c r="C1061" s="3" t="s">
        <v>169</v>
      </c>
      <c r="D1061">
        <v>243</v>
      </c>
      <c r="E1061">
        <v>181</v>
      </c>
      <c r="F1061">
        <v>277</v>
      </c>
    </row>
    <row r="1062" spans="1:6">
      <c r="A1062" s="111" t="s">
        <v>1303</v>
      </c>
      <c r="B1062" s="3" t="s">
        <v>172</v>
      </c>
      <c r="C1062" s="3" t="s">
        <v>266</v>
      </c>
      <c r="D1062">
        <v>199</v>
      </c>
      <c r="E1062">
        <v>144</v>
      </c>
      <c r="F1062">
        <v>260</v>
      </c>
    </row>
    <row r="1063" spans="1:6">
      <c r="A1063" s="111" t="s">
        <v>1304</v>
      </c>
      <c r="B1063" s="3" t="s">
        <v>172</v>
      </c>
      <c r="C1063" s="3" t="s">
        <v>266</v>
      </c>
      <c r="D1063">
        <v>217</v>
      </c>
      <c r="E1063">
        <v>144</v>
      </c>
      <c r="F1063">
        <v>260</v>
      </c>
    </row>
    <row r="1064" spans="1:6">
      <c r="A1064" s="111" t="s">
        <v>1305</v>
      </c>
      <c r="B1064" s="3" t="s">
        <v>94</v>
      </c>
      <c r="C1064" s="3" t="s">
        <v>274</v>
      </c>
      <c r="D1064">
        <v>259</v>
      </c>
      <c r="E1064">
        <v>158</v>
      </c>
      <c r="F1064">
        <v>190</v>
      </c>
    </row>
    <row r="1065" spans="1:6">
      <c r="A1065" s="111" t="s">
        <v>1306</v>
      </c>
      <c r="B1065" s="3" t="s">
        <v>159</v>
      </c>
      <c r="C1065" s="3" t="s">
        <v>274</v>
      </c>
      <c r="D1065">
        <v>222</v>
      </c>
      <c r="E1065">
        <v>171</v>
      </c>
      <c r="F1065">
        <v>198</v>
      </c>
    </row>
    <row r="1066" spans="1:6">
      <c r="A1066" s="111" t="s">
        <v>1307</v>
      </c>
      <c r="B1066" s="3" t="s">
        <v>83</v>
      </c>
      <c r="C1066" s="3" t="s">
        <v>96</v>
      </c>
      <c r="D1066">
        <v>281</v>
      </c>
      <c r="E1066">
        <v>162</v>
      </c>
      <c r="F1066">
        <v>179</v>
      </c>
    </row>
    <row r="1067" spans="1:6">
      <c r="A1067" s="111" t="s">
        <v>1308</v>
      </c>
      <c r="B1067" s="3" t="s">
        <v>83</v>
      </c>
      <c r="C1067" s="3" t="s">
        <v>96</v>
      </c>
      <c r="D1067">
        <v>250</v>
      </c>
      <c r="E1067">
        <v>201</v>
      </c>
      <c r="F1067">
        <v>179</v>
      </c>
    </row>
    <row r="1068" spans="1:6">
      <c r="A1068" s="111" t="s">
        <v>1309</v>
      </c>
      <c r="B1068" s="3" t="s">
        <v>166</v>
      </c>
      <c r="C1068" s="3" t="s">
        <v>118</v>
      </c>
      <c r="D1068">
        <v>116</v>
      </c>
      <c r="E1068">
        <v>99</v>
      </c>
      <c r="F1068">
        <v>120</v>
      </c>
    </row>
    <row r="1069" spans="1:6">
      <c r="A1069" s="111" t="s">
        <v>1310</v>
      </c>
      <c r="B1069" s="3" t="s">
        <v>166</v>
      </c>
      <c r="C1069" s="3" t="s">
        <v>118</v>
      </c>
      <c r="D1069">
        <v>157</v>
      </c>
      <c r="E1069">
        <v>128</v>
      </c>
      <c r="F1069">
        <v>156</v>
      </c>
    </row>
    <row r="1070" spans="1:6">
      <c r="A1070" s="111" t="s">
        <v>1311</v>
      </c>
      <c r="B1070" s="3" t="s">
        <v>166</v>
      </c>
      <c r="C1070" s="3" t="s">
        <v>159</v>
      </c>
      <c r="D1070">
        <v>233</v>
      </c>
      <c r="E1070">
        <v>153</v>
      </c>
      <c r="F1070">
        <v>183</v>
      </c>
    </row>
    <row r="1071" spans="1:6">
      <c r="A1071" s="111" t="s">
        <v>1312</v>
      </c>
      <c r="B1071" s="3" t="s">
        <v>100</v>
      </c>
      <c r="C1071" s="3" t="s">
        <v>118</v>
      </c>
      <c r="D1071">
        <v>112</v>
      </c>
      <c r="E1071">
        <v>96</v>
      </c>
      <c r="F1071">
        <v>167</v>
      </c>
    </row>
    <row r="1072" spans="1:6">
      <c r="A1072" s="111" t="s">
        <v>1313</v>
      </c>
      <c r="B1072" s="3" t="s">
        <v>100</v>
      </c>
      <c r="C1072" s="3" t="s">
        <v>118</v>
      </c>
      <c r="D1072">
        <v>162</v>
      </c>
      <c r="E1072">
        <v>134</v>
      </c>
      <c r="F1072">
        <v>191</v>
      </c>
    </row>
    <row r="1073" spans="1:6">
      <c r="A1073" s="111" t="s">
        <v>1314</v>
      </c>
      <c r="B1073" s="3" t="s">
        <v>100</v>
      </c>
      <c r="C1073" s="3" t="s">
        <v>266</v>
      </c>
      <c r="D1073">
        <v>207</v>
      </c>
      <c r="E1073">
        <v>178</v>
      </c>
      <c r="F1073">
        <v>232</v>
      </c>
    </row>
    <row r="1074" spans="1:6">
      <c r="A1074" s="111" t="s">
        <v>1315</v>
      </c>
      <c r="B1074" s="3" t="s">
        <v>172</v>
      </c>
      <c r="C1074" s="3" t="s">
        <v>118</v>
      </c>
      <c r="D1074">
        <v>120</v>
      </c>
      <c r="E1074">
        <v>86</v>
      </c>
      <c r="F1074">
        <v>146</v>
      </c>
    </row>
    <row r="1075" spans="1:6">
      <c r="A1075" s="111" t="s">
        <v>1316</v>
      </c>
      <c r="B1075" s="3" t="s">
        <v>172</v>
      </c>
      <c r="C1075" s="3" t="s">
        <v>118</v>
      </c>
      <c r="D1075">
        <v>162</v>
      </c>
      <c r="E1075">
        <v>123</v>
      </c>
      <c r="F1075">
        <v>172</v>
      </c>
    </row>
    <row r="1076" spans="1:6">
      <c r="A1076" s="111" t="s">
        <v>1317</v>
      </c>
      <c r="B1076" s="3" t="s">
        <v>172</v>
      </c>
      <c r="C1076" s="3" t="s">
        <v>94</v>
      </c>
      <c r="D1076">
        <v>236</v>
      </c>
      <c r="E1076">
        <v>159</v>
      </c>
      <c r="F1076">
        <v>198</v>
      </c>
    </row>
    <row r="1077" spans="1:6">
      <c r="A1077" s="111" t="s">
        <v>1318</v>
      </c>
      <c r="B1077" s="3" t="s">
        <v>169</v>
      </c>
      <c r="C1077" s="3" t="s">
        <v>118</v>
      </c>
      <c r="D1077">
        <v>81</v>
      </c>
      <c r="E1077">
        <v>79</v>
      </c>
      <c r="F1077">
        <v>144</v>
      </c>
    </row>
    <row r="1078" spans="1:6">
      <c r="A1078" s="111" t="s">
        <v>1319</v>
      </c>
      <c r="B1078" s="3" t="s">
        <v>169</v>
      </c>
      <c r="C1078" s="3" t="s">
        <v>118</v>
      </c>
      <c r="D1078">
        <v>186</v>
      </c>
      <c r="E1078">
        <v>153</v>
      </c>
      <c r="F1078">
        <v>242</v>
      </c>
    </row>
    <row r="1079" spans="1:6">
      <c r="A1079" s="111" t="s">
        <v>1320</v>
      </c>
      <c r="B1079" s="3" t="s">
        <v>169</v>
      </c>
      <c r="C1079" s="3" t="s">
        <v>118</v>
      </c>
      <c r="D1079">
        <v>169</v>
      </c>
      <c r="E1079">
        <v>162</v>
      </c>
      <c r="F1079">
        <v>251</v>
      </c>
    </row>
    <row r="1080" spans="1:6">
      <c r="A1080" s="111" t="s">
        <v>1321</v>
      </c>
      <c r="B1080" s="3" t="s">
        <v>284</v>
      </c>
      <c r="C1080" s="3" t="s">
        <v>118</v>
      </c>
      <c r="D1080">
        <v>70</v>
      </c>
      <c r="E1080">
        <v>77</v>
      </c>
      <c r="F1080">
        <v>111</v>
      </c>
    </row>
    <row r="1081" spans="1:6">
      <c r="A1081" s="111" t="s">
        <v>1322</v>
      </c>
      <c r="B1081" s="3" t="s">
        <v>284</v>
      </c>
      <c r="C1081" s="3" t="s">
        <v>118</v>
      </c>
      <c r="D1081">
        <v>139</v>
      </c>
      <c r="E1081">
        <v>166</v>
      </c>
      <c r="F1081">
        <v>155</v>
      </c>
    </row>
    <row r="1082" spans="1:6">
      <c r="A1082" s="111" t="s">
        <v>1323</v>
      </c>
      <c r="B1082" s="3" t="s">
        <v>284</v>
      </c>
      <c r="C1082" s="3" t="s">
        <v>118</v>
      </c>
      <c r="D1082">
        <v>81</v>
      </c>
      <c r="E1082">
        <v>65</v>
      </c>
      <c r="F1082">
        <v>107</v>
      </c>
    </row>
    <row r="1083" spans="1:6">
      <c r="A1083" s="111" t="s">
        <v>1324</v>
      </c>
      <c r="B1083" s="3" t="s">
        <v>284</v>
      </c>
      <c r="C1083" s="3" t="s">
        <v>159</v>
      </c>
      <c r="D1083">
        <v>199</v>
      </c>
      <c r="E1083">
        <v>144</v>
      </c>
      <c r="F1083">
        <v>174</v>
      </c>
    </row>
    <row r="1084" spans="1:6">
      <c r="A1084" s="111" t="s">
        <v>1325</v>
      </c>
      <c r="B1084" s="3" t="s">
        <v>177</v>
      </c>
      <c r="C1084" s="3" t="s">
        <v>118</v>
      </c>
      <c r="D1084">
        <v>95</v>
      </c>
      <c r="E1084">
        <v>45</v>
      </c>
      <c r="F1084">
        <v>128</v>
      </c>
    </row>
    <row r="1085" spans="1:6">
      <c r="A1085" s="111" t="s">
        <v>1326</v>
      </c>
      <c r="B1085" s="3" t="s">
        <v>177</v>
      </c>
      <c r="C1085" s="3" t="s">
        <v>94</v>
      </c>
      <c r="D1085">
        <v>147</v>
      </c>
      <c r="E1085">
        <v>82</v>
      </c>
      <c r="F1085">
        <v>155</v>
      </c>
    </row>
    <row r="1086" spans="1:6">
      <c r="A1086" s="111" t="s">
        <v>1327</v>
      </c>
      <c r="B1086" s="3" t="s">
        <v>177</v>
      </c>
      <c r="C1086" s="3" t="s">
        <v>94</v>
      </c>
      <c r="D1086">
        <v>232</v>
      </c>
      <c r="E1086">
        <v>141</v>
      </c>
      <c r="F1086">
        <v>172</v>
      </c>
    </row>
    <row r="1087" spans="1:6">
      <c r="A1087" s="111" t="s">
        <v>1328</v>
      </c>
      <c r="B1087" s="3" t="s">
        <v>169</v>
      </c>
      <c r="C1087" s="3" t="s">
        <v>118</v>
      </c>
      <c r="D1087">
        <v>98</v>
      </c>
      <c r="E1087">
        <v>90</v>
      </c>
      <c r="F1087">
        <v>137</v>
      </c>
    </row>
    <row r="1088" spans="1:6">
      <c r="A1088" s="111" t="s">
        <v>1329</v>
      </c>
      <c r="B1088" s="3" t="s">
        <v>169</v>
      </c>
      <c r="C1088" s="3" t="s">
        <v>118</v>
      </c>
      <c r="D1088">
        <v>159</v>
      </c>
      <c r="E1088">
        <v>157</v>
      </c>
      <c r="F1088">
        <v>179</v>
      </c>
    </row>
    <row r="1089" spans="1:6">
      <c r="A1089" s="111" t="s">
        <v>1330</v>
      </c>
      <c r="B1089" s="3" t="s">
        <v>169</v>
      </c>
      <c r="C1089" s="3" t="s">
        <v>118</v>
      </c>
      <c r="D1089">
        <v>159</v>
      </c>
      <c r="E1089">
        <v>157</v>
      </c>
      <c r="F1089">
        <v>179</v>
      </c>
    </row>
    <row r="1090" spans="1:6">
      <c r="A1090" s="111" t="s">
        <v>1331</v>
      </c>
      <c r="B1090" s="3" t="s">
        <v>169</v>
      </c>
      <c r="C1090" s="3" t="s">
        <v>118</v>
      </c>
      <c r="D1090">
        <v>159</v>
      </c>
      <c r="E1090">
        <v>157</v>
      </c>
      <c r="F1090">
        <v>179</v>
      </c>
    </row>
    <row r="1091" spans="1:6">
      <c r="A1091" s="111" t="s">
        <v>1332</v>
      </c>
      <c r="B1091" s="3" t="s">
        <v>83</v>
      </c>
      <c r="C1091" s="3" t="s">
        <v>118</v>
      </c>
      <c r="D1091">
        <v>102</v>
      </c>
      <c r="E1091">
        <v>126</v>
      </c>
      <c r="F1091">
        <v>114</v>
      </c>
    </row>
    <row r="1092" spans="1:6">
      <c r="A1092" s="111" t="s">
        <v>1333</v>
      </c>
      <c r="B1092" s="3" t="s">
        <v>83</v>
      </c>
      <c r="C1092" s="3" t="s">
        <v>118</v>
      </c>
      <c r="D1092">
        <v>159</v>
      </c>
      <c r="E1092">
        <v>212</v>
      </c>
      <c r="F1092">
        <v>149</v>
      </c>
    </row>
    <row r="1093" spans="1:6">
      <c r="A1093" s="111" t="s">
        <v>1334</v>
      </c>
      <c r="B1093" s="3" t="s">
        <v>166</v>
      </c>
      <c r="C1093" s="3" t="s">
        <v>169</v>
      </c>
      <c r="D1093">
        <v>100</v>
      </c>
      <c r="E1093">
        <v>89</v>
      </c>
      <c r="F1093">
        <v>121</v>
      </c>
    </row>
    <row r="1094" spans="1:6">
      <c r="A1094" s="111" t="s">
        <v>1335</v>
      </c>
      <c r="B1094" s="3" t="s">
        <v>166</v>
      </c>
      <c r="C1094" s="3" t="s">
        <v>169</v>
      </c>
      <c r="D1094">
        <v>137</v>
      </c>
      <c r="E1094">
        <v>131</v>
      </c>
      <c r="F1094">
        <v>141</v>
      </c>
    </row>
    <row r="1095" spans="1:6">
      <c r="A1095" s="111" t="s">
        <v>1336</v>
      </c>
      <c r="B1095" s="3" t="s">
        <v>166</v>
      </c>
      <c r="C1095" s="3" t="s">
        <v>169</v>
      </c>
      <c r="D1095">
        <v>219</v>
      </c>
      <c r="E1095">
        <v>189</v>
      </c>
      <c r="F1095">
        <v>186</v>
      </c>
    </row>
    <row r="1096" spans="1:6">
      <c r="A1096" s="111" t="s">
        <v>1337</v>
      </c>
      <c r="B1096" s="3" t="s">
        <v>169</v>
      </c>
      <c r="C1096" s="3" t="s">
        <v>96</v>
      </c>
      <c r="D1096">
        <v>185</v>
      </c>
      <c r="E1096">
        <v>105</v>
      </c>
      <c r="F1096">
        <v>193</v>
      </c>
    </row>
    <row r="1097" spans="1:6">
      <c r="A1097" s="111" t="s">
        <v>1338</v>
      </c>
      <c r="B1097" s="3" t="s">
        <v>169</v>
      </c>
      <c r="C1097" s="3" t="s">
        <v>96</v>
      </c>
      <c r="D1097">
        <v>185</v>
      </c>
      <c r="E1097">
        <v>105</v>
      </c>
      <c r="F1097">
        <v>193</v>
      </c>
    </row>
    <row r="1098" spans="1:6">
      <c r="A1098" s="111" t="s">
        <v>1339</v>
      </c>
      <c r="B1098" s="3" t="s">
        <v>169</v>
      </c>
      <c r="C1098" s="3" t="s">
        <v>96</v>
      </c>
      <c r="D1098">
        <v>185</v>
      </c>
      <c r="E1098">
        <v>105</v>
      </c>
      <c r="F1098">
        <v>193</v>
      </c>
    </row>
    <row r="1099" spans="1:6">
      <c r="A1099" s="111" t="s">
        <v>1340</v>
      </c>
      <c r="B1099" s="3" t="s">
        <v>169</v>
      </c>
      <c r="C1099" s="3" t="s">
        <v>96</v>
      </c>
      <c r="D1099">
        <v>185</v>
      </c>
      <c r="E1099">
        <v>105</v>
      </c>
      <c r="F1099">
        <v>193</v>
      </c>
    </row>
    <row r="1100" spans="1:6">
      <c r="A1100" s="111" t="s">
        <v>1341</v>
      </c>
      <c r="B1100" s="3" t="s">
        <v>169</v>
      </c>
      <c r="C1100" s="3" t="s">
        <v>96</v>
      </c>
      <c r="D1100">
        <v>185</v>
      </c>
      <c r="E1100">
        <v>105</v>
      </c>
      <c r="F1100">
        <v>193</v>
      </c>
    </row>
    <row r="1101" spans="1:6">
      <c r="A1101" s="111" t="s">
        <v>1342</v>
      </c>
      <c r="B1101" s="3" t="s">
        <v>38</v>
      </c>
      <c r="C1101" s="3" t="s">
        <v>118</v>
      </c>
      <c r="D1101">
        <v>95</v>
      </c>
      <c r="E1101">
        <v>108</v>
      </c>
      <c r="F1101">
        <v>146</v>
      </c>
    </row>
    <row r="1102" spans="1:6">
      <c r="A1102" s="111" t="s">
        <v>1343</v>
      </c>
      <c r="B1102" s="3" t="s">
        <v>38</v>
      </c>
      <c r="C1102" s="3" t="s">
        <v>118</v>
      </c>
      <c r="D1102">
        <v>105</v>
      </c>
      <c r="E1102">
        <v>160</v>
      </c>
      <c r="F1102">
        <v>155</v>
      </c>
    </row>
    <row r="1103" spans="1:6">
      <c r="A1103" s="111" t="s">
        <v>1344</v>
      </c>
      <c r="B1103" s="3" t="s">
        <v>38</v>
      </c>
      <c r="C1103" s="3" t="s">
        <v>118</v>
      </c>
      <c r="D1103">
        <v>171</v>
      </c>
      <c r="E1103">
        <v>212</v>
      </c>
      <c r="F1103">
        <v>225</v>
      </c>
    </row>
    <row r="1104" spans="1:6">
      <c r="A1104" s="111" t="s">
        <v>1345</v>
      </c>
      <c r="B1104" s="3" t="s">
        <v>100</v>
      </c>
      <c r="C1104" s="3" t="s">
        <v>118</v>
      </c>
      <c r="D1104">
        <v>92</v>
      </c>
      <c r="E1104">
        <v>74</v>
      </c>
      <c r="F1104">
        <v>120</v>
      </c>
    </row>
    <row r="1105" spans="1:6">
      <c r="A1105" s="111" t="s">
        <v>1346</v>
      </c>
      <c r="B1105" s="3" t="s">
        <v>100</v>
      </c>
      <c r="C1105" s="3" t="s">
        <v>97</v>
      </c>
      <c r="D1105">
        <v>234</v>
      </c>
      <c r="E1105">
        <v>185</v>
      </c>
      <c r="F1105">
        <v>198</v>
      </c>
    </row>
    <row r="1106" spans="1:6">
      <c r="A1106" s="111" t="s">
        <v>1347</v>
      </c>
      <c r="B1106" s="3" t="s">
        <v>100</v>
      </c>
      <c r="C1106" s="3" t="s">
        <v>266</v>
      </c>
      <c r="D1106">
        <v>239</v>
      </c>
      <c r="E1106">
        <v>189</v>
      </c>
      <c r="F1106">
        <v>181</v>
      </c>
    </row>
    <row r="1107" spans="1:6">
      <c r="A1107" s="111" t="s">
        <v>1348</v>
      </c>
      <c r="B1107" s="3" t="s">
        <v>177</v>
      </c>
      <c r="C1107" s="3" t="s">
        <v>118</v>
      </c>
      <c r="D1107">
        <v>104</v>
      </c>
      <c r="E1107">
        <v>73</v>
      </c>
      <c r="F1107">
        <v>156</v>
      </c>
    </row>
    <row r="1108" spans="1:6">
      <c r="A1108" s="111" t="s">
        <v>1349</v>
      </c>
      <c r="B1108" s="3" t="s">
        <v>177</v>
      </c>
      <c r="C1108" s="3" t="s">
        <v>118</v>
      </c>
      <c r="D1108">
        <v>184</v>
      </c>
      <c r="E1108">
        <v>165</v>
      </c>
      <c r="F1108">
        <v>240</v>
      </c>
    </row>
    <row r="1109" spans="1:6">
      <c r="A1109" s="111" t="s">
        <v>1350</v>
      </c>
      <c r="B1109" s="3" t="s">
        <v>177</v>
      </c>
      <c r="C1109" s="3" t="s">
        <v>96</v>
      </c>
      <c r="D1109">
        <v>105</v>
      </c>
      <c r="E1109">
        <v>75</v>
      </c>
      <c r="F1109">
        <v>120</v>
      </c>
    </row>
    <row r="1110" spans="1:6">
      <c r="A1110" s="111" t="s">
        <v>1351</v>
      </c>
      <c r="B1110" s="3" t="s">
        <v>177</v>
      </c>
      <c r="C1110" s="3" t="s">
        <v>96</v>
      </c>
      <c r="D1110">
        <v>221</v>
      </c>
      <c r="E1110">
        <v>132</v>
      </c>
      <c r="F1110">
        <v>172</v>
      </c>
    </row>
    <row r="1111" spans="1:6">
      <c r="A1111" s="111" t="s">
        <v>1352</v>
      </c>
      <c r="B1111" s="3" t="s">
        <v>159</v>
      </c>
      <c r="C1111" s="3" t="s">
        <v>118</v>
      </c>
      <c r="D1111">
        <v>140</v>
      </c>
      <c r="E1111">
        <v>108</v>
      </c>
      <c r="F1111">
        <v>155</v>
      </c>
    </row>
    <row r="1112" spans="1:6">
      <c r="A1112" s="111" t="s">
        <v>1353</v>
      </c>
      <c r="B1112" s="3" t="s">
        <v>159</v>
      </c>
      <c r="C1112" s="3" t="s">
        <v>118</v>
      </c>
      <c r="D1112">
        <v>230</v>
      </c>
      <c r="E1112">
        <v>168</v>
      </c>
      <c r="F1112">
        <v>190</v>
      </c>
    </row>
    <row r="1113" spans="1:6">
      <c r="A1113" s="111" t="s">
        <v>1354</v>
      </c>
      <c r="B1113" s="3" t="s">
        <v>274</v>
      </c>
      <c r="C1113" s="3" t="s">
        <v>169</v>
      </c>
      <c r="D1113">
        <v>124</v>
      </c>
      <c r="E1113">
        <v>70</v>
      </c>
      <c r="F1113">
        <v>120</v>
      </c>
    </row>
    <row r="1114" spans="1:6">
      <c r="A1114" s="111" t="s">
        <v>1355</v>
      </c>
      <c r="B1114" s="3" t="s">
        <v>274</v>
      </c>
      <c r="C1114" s="3" t="s">
        <v>169</v>
      </c>
      <c r="D1114">
        <v>199</v>
      </c>
      <c r="E1114">
        <v>149</v>
      </c>
      <c r="F1114">
        <v>160</v>
      </c>
    </row>
    <row r="1115" spans="1:6">
      <c r="A1115" s="111" t="s">
        <v>1356</v>
      </c>
      <c r="B1115" s="3" t="s">
        <v>166</v>
      </c>
      <c r="C1115" s="3" t="s">
        <v>266</v>
      </c>
      <c r="D1115">
        <v>121</v>
      </c>
      <c r="E1115">
        <v>64</v>
      </c>
      <c r="F1115">
        <v>120</v>
      </c>
    </row>
    <row r="1116" spans="1:6">
      <c r="A1116" s="111" t="s">
        <v>1357</v>
      </c>
      <c r="B1116" s="3" t="s">
        <v>166</v>
      </c>
      <c r="C1116" s="3" t="s">
        <v>266</v>
      </c>
      <c r="D1116">
        <v>228</v>
      </c>
      <c r="E1116">
        <v>144</v>
      </c>
      <c r="F1116">
        <v>146</v>
      </c>
    </row>
    <row r="1117" spans="1:6">
      <c r="A1117" s="111" t="s">
        <v>1358</v>
      </c>
      <c r="B1117" s="3" t="s">
        <v>73</v>
      </c>
      <c r="C1117" s="3" t="s">
        <v>166</v>
      </c>
      <c r="D1117">
        <v>97</v>
      </c>
      <c r="E1117">
        <v>149</v>
      </c>
      <c r="F1117">
        <v>120</v>
      </c>
    </row>
    <row r="1118" spans="1:6">
      <c r="A1118" s="111" t="s">
        <v>1359</v>
      </c>
      <c r="B1118" s="3" t="s">
        <v>73</v>
      </c>
      <c r="C1118" s="3" t="s">
        <v>166</v>
      </c>
      <c r="D1118">
        <v>166</v>
      </c>
      <c r="E1118">
        <v>209</v>
      </c>
      <c r="F1118">
        <v>190</v>
      </c>
    </row>
    <row r="1119" spans="1:6">
      <c r="A1119" s="111" t="s">
        <v>1360</v>
      </c>
      <c r="B1119" s="3" t="s">
        <v>38</v>
      </c>
      <c r="C1119" s="3" t="s">
        <v>118</v>
      </c>
      <c r="D1119">
        <v>184</v>
      </c>
      <c r="E1119">
        <v>185</v>
      </c>
      <c r="F1119">
        <v>172</v>
      </c>
    </row>
    <row r="1120" spans="1:6">
      <c r="A1120" s="111" t="s">
        <v>1361</v>
      </c>
      <c r="B1120" s="3" t="s">
        <v>166</v>
      </c>
      <c r="C1120" s="3" t="s">
        <v>118</v>
      </c>
      <c r="D1120">
        <v>118</v>
      </c>
      <c r="E1120">
        <v>76</v>
      </c>
      <c r="F1120">
        <v>137</v>
      </c>
    </row>
    <row r="1121" spans="1:6">
      <c r="A1121" s="111" t="s">
        <v>1362</v>
      </c>
      <c r="B1121" s="3" t="s">
        <v>166</v>
      </c>
      <c r="C1121" s="3" t="s">
        <v>100</v>
      </c>
      <c r="D1121">
        <v>216</v>
      </c>
      <c r="E1121">
        <v>130</v>
      </c>
      <c r="F1121">
        <v>163</v>
      </c>
    </row>
    <row r="1122" spans="1:6">
      <c r="A1122" s="111" t="s">
        <v>1363</v>
      </c>
      <c r="B1122" s="3" t="s">
        <v>284</v>
      </c>
      <c r="C1122" s="3" t="s">
        <v>118</v>
      </c>
      <c r="D1122">
        <v>86</v>
      </c>
      <c r="E1122">
        <v>108</v>
      </c>
      <c r="F1122">
        <v>121</v>
      </c>
    </row>
    <row r="1123" spans="1:6">
      <c r="A1123" s="111" t="s">
        <v>1364</v>
      </c>
      <c r="B1123" s="3" t="s">
        <v>284</v>
      </c>
      <c r="C1123" s="3" t="s">
        <v>97</v>
      </c>
      <c r="D1123">
        <v>201</v>
      </c>
      <c r="E1123">
        <v>178</v>
      </c>
      <c r="F1123">
        <v>181</v>
      </c>
    </row>
    <row r="1124" spans="1:6">
      <c r="A1124" s="111" t="s">
        <v>1365</v>
      </c>
      <c r="B1124" s="3" t="s">
        <v>97</v>
      </c>
      <c r="C1124" s="3" t="s">
        <v>118</v>
      </c>
      <c r="D1124">
        <v>105</v>
      </c>
      <c r="E1124">
        <v>60</v>
      </c>
      <c r="F1124">
        <v>102</v>
      </c>
    </row>
    <row r="1125" spans="1:6">
      <c r="A1125" s="111" t="s">
        <v>1366</v>
      </c>
      <c r="B1125" s="3" t="s">
        <v>97</v>
      </c>
      <c r="C1125" s="3" t="s">
        <v>118</v>
      </c>
      <c r="D1125">
        <v>204</v>
      </c>
      <c r="E1125">
        <v>127</v>
      </c>
      <c r="F1125">
        <v>216</v>
      </c>
    </row>
    <row r="1126" spans="1:6">
      <c r="A1126" s="111" t="s">
        <v>1367</v>
      </c>
      <c r="B1126" s="3" t="s">
        <v>83</v>
      </c>
      <c r="C1126" s="3" t="s">
        <v>306</v>
      </c>
      <c r="D1126">
        <v>85</v>
      </c>
      <c r="E1126">
        <v>110</v>
      </c>
      <c r="F1126">
        <v>137</v>
      </c>
    </row>
    <row r="1127" spans="1:6">
      <c r="A1127" s="111" t="s">
        <v>1368</v>
      </c>
      <c r="B1127" s="3" t="s">
        <v>83</v>
      </c>
      <c r="C1127" s="3" t="s">
        <v>306</v>
      </c>
      <c r="D1127">
        <v>109</v>
      </c>
      <c r="E1127">
        <v>145</v>
      </c>
      <c r="F1127">
        <v>163</v>
      </c>
    </row>
    <row r="1128" spans="1:6">
      <c r="A1128" s="111" t="s">
        <v>1369</v>
      </c>
      <c r="B1128" s="3" t="s">
        <v>83</v>
      </c>
      <c r="C1128" s="3" t="s">
        <v>306</v>
      </c>
      <c r="D1128">
        <v>155</v>
      </c>
      <c r="E1128">
        <v>196</v>
      </c>
      <c r="F1128">
        <v>198</v>
      </c>
    </row>
    <row r="1129" spans="1:6">
      <c r="A1129" s="111" t="s">
        <v>1370</v>
      </c>
      <c r="B1129" s="3" t="s">
        <v>172</v>
      </c>
      <c r="C1129" s="3" t="s">
        <v>118</v>
      </c>
      <c r="D1129">
        <v>109</v>
      </c>
      <c r="E1129">
        <v>52</v>
      </c>
      <c r="F1129">
        <v>67</v>
      </c>
    </row>
    <row r="1130" spans="1:6">
      <c r="A1130" s="111" t="s">
        <v>1371</v>
      </c>
      <c r="B1130" s="3" t="s">
        <v>172</v>
      </c>
      <c r="C1130" s="3" t="s">
        <v>118</v>
      </c>
      <c r="D1130">
        <v>205</v>
      </c>
      <c r="E1130">
        <v>136</v>
      </c>
      <c r="F1130">
        <v>111</v>
      </c>
    </row>
    <row r="1131" spans="1:6">
      <c r="A1131" s="111" t="s">
        <v>1372</v>
      </c>
      <c r="B1131" s="3" t="s">
        <v>96</v>
      </c>
      <c r="C1131" s="3" t="s">
        <v>159</v>
      </c>
      <c r="D1131">
        <v>198</v>
      </c>
      <c r="E1131">
        <v>172</v>
      </c>
      <c r="F1131">
        <v>172</v>
      </c>
    </row>
    <row r="1132" spans="1:6">
      <c r="A1132" s="111" t="s">
        <v>1373</v>
      </c>
      <c r="B1132" s="3" t="s">
        <v>172</v>
      </c>
      <c r="C1132" s="3" t="s">
        <v>118</v>
      </c>
      <c r="D1132">
        <v>90</v>
      </c>
      <c r="E1132">
        <v>80</v>
      </c>
      <c r="F1132">
        <v>172</v>
      </c>
    </row>
    <row r="1133" spans="1:6">
      <c r="A1133" s="111" t="s">
        <v>1374</v>
      </c>
      <c r="B1133" s="3" t="s">
        <v>172</v>
      </c>
      <c r="C1133" s="3" t="s">
        <v>118</v>
      </c>
      <c r="D1133">
        <v>143</v>
      </c>
      <c r="E1133">
        <v>144</v>
      </c>
      <c r="F1133">
        <v>225</v>
      </c>
    </row>
    <row r="1134" spans="1:6">
      <c r="A1134" s="111" t="s">
        <v>1375</v>
      </c>
      <c r="B1134" s="3" t="s">
        <v>172</v>
      </c>
      <c r="C1134" s="3" t="s">
        <v>118</v>
      </c>
      <c r="D1134">
        <v>322</v>
      </c>
      <c r="E1134">
        <v>196</v>
      </c>
      <c r="F1134">
        <v>225</v>
      </c>
    </row>
    <row r="1135" spans="1:6">
      <c r="A1135" s="111" t="s">
        <v>1376</v>
      </c>
      <c r="B1135" s="3" t="s">
        <v>172</v>
      </c>
      <c r="C1135" s="3" t="s">
        <v>118</v>
      </c>
      <c r="D1135">
        <v>143</v>
      </c>
      <c r="E1135">
        <v>144</v>
      </c>
      <c r="F1135">
        <v>225</v>
      </c>
    </row>
    <row r="1136" spans="1:6">
      <c r="A1136" s="111" t="s">
        <v>1377</v>
      </c>
      <c r="B1136" s="3" t="s">
        <v>306</v>
      </c>
      <c r="C1136" s="3" t="s">
        <v>274</v>
      </c>
      <c r="D1136">
        <v>123</v>
      </c>
      <c r="E1136">
        <v>107</v>
      </c>
      <c r="F1136">
        <v>128</v>
      </c>
    </row>
    <row r="1137" spans="1:6">
      <c r="A1137" s="111" t="s">
        <v>1378</v>
      </c>
      <c r="B1137" s="3" t="s">
        <v>306</v>
      </c>
      <c r="C1137" s="3" t="s">
        <v>274</v>
      </c>
      <c r="D1137">
        <v>229</v>
      </c>
      <c r="E1137">
        <v>168</v>
      </c>
      <c r="F1137">
        <v>190</v>
      </c>
    </row>
    <row r="1138" spans="1:6">
      <c r="A1138" s="111" t="s">
        <v>1379</v>
      </c>
      <c r="B1138" s="3" t="s">
        <v>44</v>
      </c>
      <c r="C1138" s="3" t="s">
        <v>169</v>
      </c>
      <c r="D1138">
        <v>205</v>
      </c>
      <c r="E1138">
        <v>142</v>
      </c>
      <c r="F1138">
        <v>172</v>
      </c>
    </row>
    <row r="1139" spans="1:6">
      <c r="A1139" s="111" t="s">
        <v>1380</v>
      </c>
      <c r="B1139" s="3" t="s">
        <v>306</v>
      </c>
      <c r="C1139" s="3" t="s">
        <v>118</v>
      </c>
      <c r="D1139">
        <v>161</v>
      </c>
      <c r="E1139">
        <v>219</v>
      </c>
      <c r="F1139">
        <v>172</v>
      </c>
    </row>
    <row r="1140" spans="1:6">
      <c r="A1140" s="111" t="s">
        <v>1381</v>
      </c>
      <c r="B1140" s="3" t="s">
        <v>38</v>
      </c>
      <c r="C1140" s="3" t="s">
        <v>274</v>
      </c>
      <c r="D1140">
        <v>187</v>
      </c>
      <c r="E1140">
        <v>104</v>
      </c>
      <c r="F1140">
        <v>134</v>
      </c>
    </row>
    <row r="1141" spans="1:6">
      <c r="A1141" s="111" t="s">
        <v>1382</v>
      </c>
      <c r="B1141" s="3" t="s">
        <v>38</v>
      </c>
      <c r="C1141" s="3" t="s">
        <v>274</v>
      </c>
      <c r="D1141">
        <v>246</v>
      </c>
      <c r="E1141">
        <v>177</v>
      </c>
      <c r="F1141">
        <v>195</v>
      </c>
    </row>
    <row r="1142" spans="1:6">
      <c r="A1142" s="111" t="s">
        <v>1383</v>
      </c>
      <c r="B1142" s="3" t="s">
        <v>266</v>
      </c>
      <c r="C1142" s="3" t="s">
        <v>118</v>
      </c>
      <c r="D1142">
        <v>105</v>
      </c>
      <c r="E1142">
        <v>106</v>
      </c>
      <c r="F1142">
        <v>137</v>
      </c>
    </row>
    <row r="1143" spans="1:6">
      <c r="A1143" s="111" t="s">
        <v>1384</v>
      </c>
      <c r="B1143" s="3" t="s">
        <v>266</v>
      </c>
      <c r="C1143" s="3" t="s">
        <v>118</v>
      </c>
      <c r="D1143">
        <v>186</v>
      </c>
      <c r="E1143">
        <v>195</v>
      </c>
      <c r="F1143">
        <v>176</v>
      </c>
    </row>
    <row r="1144" spans="1:6">
      <c r="A1144" s="111" t="s">
        <v>1385</v>
      </c>
      <c r="B1144" s="3" t="s">
        <v>96</v>
      </c>
      <c r="C1144" s="3" t="s">
        <v>94</v>
      </c>
      <c r="D1144">
        <v>227</v>
      </c>
      <c r="E1144">
        <v>145</v>
      </c>
      <c r="F1144">
        <v>193</v>
      </c>
    </row>
    <row r="1145" spans="1:6">
      <c r="A1145" s="111" t="s">
        <v>1386</v>
      </c>
      <c r="B1145" s="3" t="s">
        <v>98</v>
      </c>
      <c r="C1145" s="3" t="s">
        <v>118</v>
      </c>
      <c r="D1145">
        <v>119</v>
      </c>
      <c r="E1145">
        <v>80</v>
      </c>
      <c r="F1145">
        <v>239</v>
      </c>
    </row>
    <row r="1146" spans="1:6">
      <c r="A1146" s="111" t="s">
        <v>1387</v>
      </c>
      <c r="B1146" s="3" t="s">
        <v>98</v>
      </c>
      <c r="C1146" s="3" t="s">
        <v>118</v>
      </c>
      <c r="D1146">
        <v>208</v>
      </c>
      <c r="E1146">
        <v>123</v>
      </c>
      <c r="F1146">
        <v>347</v>
      </c>
    </row>
    <row r="1147" spans="1:6">
      <c r="A1147" s="111" t="s">
        <v>1388</v>
      </c>
      <c r="B1147" s="3" t="s">
        <v>172</v>
      </c>
      <c r="C1147" s="3" t="s">
        <v>97</v>
      </c>
      <c r="D1147">
        <v>196</v>
      </c>
      <c r="E1147">
        <v>139</v>
      </c>
      <c r="F1147">
        <v>207</v>
      </c>
    </row>
    <row r="1148" spans="1:6">
      <c r="A1148" s="111" t="s">
        <v>1389</v>
      </c>
      <c r="B1148" s="3" t="s">
        <v>172</v>
      </c>
      <c r="C1148" s="3" t="s">
        <v>118</v>
      </c>
      <c r="D1148">
        <v>176</v>
      </c>
      <c r="E1148">
        <v>178</v>
      </c>
      <c r="F1148">
        <v>312</v>
      </c>
    </row>
    <row r="1149" spans="1:6">
      <c r="A1149" s="111" t="s">
        <v>1390</v>
      </c>
      <c r="B1149" s="3" t="s">
        <v>44</v>
      </c>
      <c r="C1149" s="3" t="s">
        <v>172</v>
      </c>
      <c r="D1149">
        <v>226</v>
      </c>
      <c r="E1149">
        <v>166</v>
      </c>
      <c r="F1149">
        <v>169</v>
      </c>
    </row>
    <row r="1150" spans="1:6">
      <c r="A1150" s="111" t="s">
        <v>1391</v>
      </c>
      <c r="B1150" s="3" t="s">
        <v>44</v>
      </c>
      <c r="C1150" s="3" t="s">
        <v>172</v>
      </c>
      <c r="D1150">
        <v>226</v>
      </c>
      <c r="E1150">
        <v>166</v>
      </c>
      <c r="F1150">
        <v>169</v>
      </c>
    </row>
    <row r="1151" spans="1:6">
      <c r="A1151" s="111" t="s">
        <v>1392</v>
      </c>
      <c r="B1151" s="3" t="s">
        <v>44</v>
      </c>
      <c r="C1151" s="3" t="s">
        <v>172</v>
      </c>
      <c r="D1151">
        <v>226</v>
      </c>
      <c r="E1151">
        <v>166</v>
      </c>
      <c r="F1151">
        <v>169</v>
      </c>
    </row>
    <row r="1152" spans="1:6">
      <c r="A1152" s="111" t="s">
        <v>1393</v>
      </c>
      <c r="B1152" s="3" t="s">
        <v>94</v>
      </c>
      <c r="C1152" s="3" t="s">
        <v>266</v>
      </c>
      <c r="D1152">
        <v>220</v>
      </c>
      <c r="E1152">
        <v>178</v>
      </c>
      <c r="F1152">
        <v>242</v>
      </c>
    </row>
    <row r="1153" spans="1:6">
      <c r="A1153" s="111" t="s">
        <v>1394</v>
      </c>
      <c r="B1153" s="3" t="s">
        <v>274</v>
      </c>
      <c r="C1153" s="3" t="s">
        <v>73</v>
      </c>
      <c r="D1153">
        <v>127</v>
      </c>
      <c r="E1153">
        <v>151</v>
      </c>
      <c r="F1153">
        <v>277</v>
      </c>
    </row>
    <row r="1154" spans="1:6">
      <c r="A1154" s="111" t="s">
        <v>1395</v>
      </c>
      <c r="B1154" s="3" t="s">
        <v>169</v>
      </c>
      <c r="C1154" s="3" t="s">
        <v>97</v>
      </c>
      <c r="D1154">
        <v>209</v>
      </c>
      <c r="E1154">
        <v>136</v>
      </c>
      <c r="F1154">
        <v>260</v>
      </c>
    </row>
    <row r="1155" spans="1:6">
      <c r="A1155" s="111" t="s">
        <v>1396</v>
      </c>
      <c r="B1155" s="3" t="s">
        <v>169</v>
      </c>
      <c r="C1155" s="3" t="s">
        <v>118</v>
      </c>
      <c r="D1155">
        <v>188</v>
      </c>
      <c r="E1155">
        <v>150</v>
      </c>
      <c r="F1155">
        <v>268</v>
      </c>
    </row>
    <row r="1156" spans="1:6">
      <c r="A1156" s="111" t="s">
        <v>1397</v>
      </c>
      <c r="B1156" s="3" t="s">
        <v>159</v>
      </c>
      <c r="C1156" s="3" t="s">
        <v>306</v>
      </c>
      <c r="D1156">
        <v>238</v>
      </c>
      <c r="E1156">
        <v>203</v>
      </c>
      <c r="F1156">
        <v>225</v>
      </c>
    </row>
    <row r="1157" spans="1:6">
      <c r="A1157" s="111" t="s">
        <v>1398</v>
      </c>
      <c r="B1157" s="3" t="s">
        <v>73</v>
      </c>
      <c r="C1157" s="3" t="s">
        <v>94</v>
      </c>
      <c r="D1157">
        <v>249</v>
      </c>
      <c r="E1157">
        <v>209</v>
      </c>
      <c r="F1157">
        <v>251</v>
      </c>
    </row>
    <row r="1158" spans="1:6">
      <c r="A1158" s="111" t="s">
        <v>1399</v>
      </c>
      <c r="B1158" s="3" t="s">
        <v>83</v>
      </c>
      <c r="C1158" s="3" t="s">
        <v>97</v>
      </c>
      <c r="D1158">
        <v>139</v>
      </c>
      <c r="E1158">
        <v>234</v>
      </c>
      <c r="F1158">
        <v>251</v>
      </c>
    </row>
    <row r="1159" spans="1:6">
      <c r="A1159" s="111" t="s">
        <v>1400</v>
      </c>
      <c r="B1159" s="3" t="s">
        <v>166</v>
      </c>
      <c r="C1159" s="3" t="s">
        <v>159</v>
      </c>
      <c r="D1159">
        <v>232</v>
      </c>
      <c r="E1159">
        <v>190</v>
      </c>
      <c r="F1159">
        <v>244</v>
      </c>
    </row>
    <row r="1160" spans="1:6">
      <c r="A1160" s="111" t="s">
        <v>1401</v>
      </c>
      <c r="B1160" s="3" t="s">
        <v>266</v>
      </c>
      <c r="C1160" s="3" t="s">
        <v>83</v>
      </c>
      <c r="D1160">
        <v>280</v>
      </c>
      <c r="E1160">
        <v>235</v>
      </c>
      <c r="F1160">
        <v>146</v>
      </c>
    </row>
    <row r="1161" spans="1:6">
      <c r="A1161" s="111" t="s">
        <v>1402</v>
      </c>
      <c r="B1161" s="3" t="s">
        <v>284</v>
      </c>
      <c r="C1161" s="3" t="s">
        <v>94</v>
      </c>
      <c r="D1161">
        <v>261</v>
      </c>
      <c r="E1161">
        <v>193</v>
      </c>
      <c r="F1161">
        <v>198</v>
      </c>
    </row>
    <row r="1162" spans="1:6">
      <c r="A1162" s="111" t="s">
        <v>1403</v>
      </c>
      <c r="B1162" s="3" t="s">
        <v>177</v>
      </c>
      <c r="C1162" s="3" t="s">
        <v>73</v>
      </c>
      <c r="D1162">
        <v>244</v>
      </c>
      <c r="E1162">
        <v>195</v>
      </c>
      <c r="F1162">
        <v>198</v>
      </c>
    </row>
    <row r="1163" spans="1:6">
      <c r="A1163" s="111" t="s">
        <v>1404</v>
      </c>
      <c r="B1163" s="3" t="s">
        <v>73</v>
      </c>
      <c r="C1163" s="3" t="s">
        <v>306</v>
      </c>
      <c r="D1163">
        <v>227</v>
      </c>
      <c r="E1163">
        <v>216</v>
      </c>
      <c r="F1163">
        <v>207</v>
      </c>
    </row>
    <row r="1164" spans="1:6">
      <c r="A1164" s="111" t="s">
        <v>1405</v>
      </c>
      <c r="B1164" s="3" t="s">
        <v>98</v>
      </c>
      <c r="C1164" s="3" t="s">
        <v>172</v>
      </c>
      <c r="D1164">
        <v>266</v>
      </c>
      <c r="E1164">
        <v>211</v>
      </c>
      <c r="F1164">
        <v>148</v>
      </c>
    </row>
    <row r="1165" spans="1:6">
      <c r="A1165" s="111" t="s">
        <v>1406</v>
      </c>
      <c r="B1165" s="3" t="s">
        <v>94</v>
      </c>
      <c r="C1165" s="3" t="s">
        <v>177</v>
      </c>
      <c r="D1165">
        <v>245</v>
      </c>
      <c r="E1165">
        <v>177</v>
      </c>
      <c r="F1165">
        <v>319</v>
      </c>
    </row>
    <row r="1166" spans="1:6">
      <c r="A1166" s="111" t="s">
        <v>1407</v>
      </c>
      <c r="B1166" s="3" t="s">
        <v>159</v>
      </c>
      <c r="C1166" s="3" t="s">
        <v>96</v>
      </c>
      <c r="D1166">
        <v>249</v>
      </c>
      <c r="E1166">
        <v>179</v>
      </c>
      <c r="F1166">
        <v>214</v>
      </c>
    </row>
    <row r="1167" spans="1:6">
      <c r="A1167" s="111" t="s">
        <v>1408</v>
      </c>
      <c r="B1167" s="3" t="s">
        <v>100</v>
      </c>
      <c r="C1167" s="3" t="s">
        <v>274</v>
      </c>
      <c r="D1167">
        <v>281</v>
      </c>
      <c r="E1167">
        <v>196</v>
      </c>
      <c r="F1167">
        <v>190</v>
      </c>
    </row>
    <row r="1168" spans="1:6">
      <c r="A1168" s="111" t="s">
        <v>1409</v>
      </c>
      <c r="B1168" s="3" t="s">
        <v>38</v>
      </c>
      <c r="C1168" s="3" t="s">
        <v>177</v>
      </c>
      <c r="D1168">
        <v>250</v>
      </c>
      <c r="E1168">
        <v>200</v>
      </c>
      <c r="F1168">
        <v>225</v>
      </c>
    </row>
    <row r="1169" spans="1:6">
      <c r="A1169" s="111" t="s">
        <v>1410</v>
      </c>
      <c r="B1169" s="3" t="s">
        <v>44</v>
      </c>
      <c r="C1169" s="3" t="s">
        <v>98</v>
      </c>
      <c r="D1169">
        <v>134</v>
      </c>
      <c r="E1169">
        <v>86</v>
      </c>
      <c r="F1169">
        <v>163</v>
      </c>
    </row>
    <row r="1170" spans="1:6">
      <c r="A1170" s="111" t="s">
        <v>1411</v>
      </c>
      <c r="B1170" s="3" t="s">
        <v>44</v>
      </c>
      <c r="C1170" s="3" t="s">
        <v>98</v>
      </c>
      <c r="D1170">
        <v>173</v>
      </c>
      <c r="E1170">
        <v>128</v>
      </c>
      <c r="F1170">
        <v>207</v>
      </c>
    </row>
    <row r="1171" spans="1:6">
      <c r="A1171" s="111" t="s">
        <v>1412</v>
      </c>
      <c r="B1171" s="3" t="s">
        <v>44</v>
      </c>
      <c r="C1171" s="3" t="s">
        <v>98</v>
      </c>
      <c r="D1171">
        <v>254</v>
      </c>
      <c r="E1171">
        <v>168</v>
      </c>
      <c r="F1171">
        <v>229</v>
      </c>
    </row>
    <row r="1172" spans="1:6">
      <c r="A1172" s="111" t="s">
        <v>1413</v>
      </c>
      <c r="B1172" s="3" t="s">
        <v>266</v>
      </c>
      <c r="C1172" s="3" t="s">
        <v>118</v>
      </c>
      <c r="D1172">
        <v>140</v>
      </c>
      <c r="E1172">
        <v>76</v>
      </c>
      <c r="F1172">
        <v>128</v>
      </c>
    </row>
    <row r="1173" spans="1:6">
      <c r="A1173" s="111" t="s">
        <v>1414</v>
      </c>
      <c r="B1173" s="3" t="s">
        <v>306</v>
      </c>
      <c r="C1173" s="3" t="s">
        <v>266</v>
      </c>
      <c r="D1173">
        <v>252</v>
      </c>
      <c r="E1173">
        <v>190</v>
      </c>
      <c r="F1173">
        <v>202</v>
      </c>
    </row>
    <row r="1174" spans="1:6">
      <c r="A1174" s="111" t="s">
        <v>1415</v>
      </c>
      <c r="B1174" s="3" t="s">
        <v>159</v>
      </c>
      <c r="C1174" s="3" t="s">
        <v>166</v>
      </c>
      <c r="D1174">
        <v>186</v>
      </c>
      <c r="E1174">
        <v>242</v>
      </c>
      <c r="F1174">
        <v>198</v>
      </c>
    </row>
    <row r="1175" spans="1:6">
      <c r="A1175" s="111" t="s">
        <v>1416</v>
      </c>
      <c r="B1175" s="3" t="s">
        <v>159</v>
      </c>
      <c r="C1175" s="3" t="s">
        <v>98</v>
      </c>
      <c r="D1175">
        <v>261</v>
      </c>
      <c r="E1175">
        <v>167</v>
      </c>
      <c r="F1175">
        <v>190</v>
      </c>
    </row>
    <row r="1176" spans="1:6">
      <c r="A1176" s="111" t="s">
        <v>1417</v>
      </c>
      <c r="B1176" s="3" t="s">
        <v>159</v>
      </c>
      <c r="C1176" s="3" t="s">
        <v>73</v>
      </c>
      <c r="D1176">
        <v>194</v>
      </c>
      <c r="E1176">
        <v>203</v>
      </c>
      <c r="F1176">
        <v>321</v>
      </c>
    </row>
    <row r="1177" spans="1:6">
      <c r="A1177" s="111" t="s">
        <v>1418</v>
      </c>
      <c r="B1177" s="3" t="s">
        <v>159</v>
      </c>
      <c r="C1177" s="3" t="s">
        <v>100</v>
      </c>
      <c r="D1177">
        <v>269</v>
      </c>
      <c r="E1177">
        <v>221</v>
      </c>
      <c r="F1177">
        <v>146</v>
      </c>
    </row>
    <row r="1178" spans="1:6">
      <c r="A1178" s="111" t="s">
        <v>1419</v>
      </c>
      <c r="B1178" s="3" t="s">
        <v>44</v>
      </c>
      <c r="C1178" s="3" t="s">
        <v>159</v>
      </c>
      <c r="D1178">
        <v>280</v>
      </c>
      <c r="E1178">
        <v>196</v>
      </c>
      <c r="F1178">
        <v>233</v>
      </c>
    </row>
    <row r="1179" spans="1:6">
      <c r="A1179" s="111" t="s">
        <v>1420</v>
      </c>
      <c r="B1179" s="3" t="s">
        <v>83</v>
      </c>
      <c r="C1179" s="3" t="s">
        <v>94</v>
      </c>
      <c r="D1179">
        <v>279</v>
      </c>
      <c r="E1179">
        <v>171</v>
      </c>
      <c r="F1179">
        <v>179</v>
      </c>
    </row>
    <row r="1180" spans="1:6">
      <c r="A1180" s="111" t="s">
        <v>1421</v>
      </c>
      <c r="B1180" s="3" t="s">
        <v>94</v>
      </c>
      <c r="C1180" s="3" t="s">
        <v>44</v>
      </c>
      <c r="D1180">
        <v>263</v>
      </c>
      <c r="E1180">
        <v>223</v>
      </c>
      <c r="F1180">
        <v>205</v>
      </c>
    </row>
    <row r="1181" spans="1:6">
      <c r="A1181" s="111" t="s">
        <v>1422</v>
      </c>
      <c r="B1181" s="3" t="s">
        <v>94</v>
      </c>
      <c r="C1181" s="3" t="s">
        <v>44</v>
      </c>
      <c r="D1181">
        <v>263</v>
      </c>
      <c r="E1181">
        <v>223</v>
      </c>
      <c r="F1181">
        <v>205</v>
      </c>
    </row>
    <row r="1182" spans="1:6">
      <c r="A1182" s="111" t="s">
        <v>1423</v>
      </c>
      <c r="B1182" s="3" t="s">
        <v>177</v>
      </c>
      <c r="C1182" s="3" t="s">
        <v>44</v>
      </c>
      <c r="D1182">
        <v>263</v>
      </c>
      <c r="E1182">
        <v>223</v>
      </c>
      <c r="F1182">
        <v>205</v>
      </c>
    </row>
    <row r="1183" spans="1:6">
      <c r="A1183" s="111" t="s">
        <v>1424</v>
      </c>
      <c r="B1183" s="3" t="s">
        <v>177</v>
      </c>
      <c r="C1183" s="3" t="s">
        <v>44</v>
      </c>
      <c r="D1183">
        <v>263</v>
      </c>
      <c r="E1183">
        <v>223</v>
      </c>
      <c r="F1183">
        <v>205</v>
      </c>
    </row>
    <row r="1184" spans="1:6">
      <c r="A1184" s="111" t="s">
        <v>1425</v>
      </c>
      <c r="B1184" s="3" t="s">
        <v>172</v>
      </c>
      <c r="C1184" s="3" t="s">
        <v>44</v>
      </c>
      <c r="D1184">
        <v>233</v>
      </c>
      <c r="E1184">
        <v>171</v>
      </c>
      <c r="F1184">
        <v>203</v>
      </c>
    </row>
    <row r="1185" spans="1:6">
      <c r="A1185" s="111" t="s">
        <v>1426</v>
      </c>
      <c r="B1185" s="3" t="s">
        <v>166</v>
      </c>
      <c r="C1185" s="3" t="s">
        <v>97</v>
      </c>
      <c r="D1185">
        <v>236</v>
      </c>
      <c r="E1185">
        <v>194</v>
      </c>
      <c r="F1185">
        <v>189</v>
      </c>
    </row>
    <row r="1186" spans="1:6">
      <c r="A1186" s="111" t="s">
        <v>1427</v>
      </c>
      <c r="B1186" s="3" t="s">
        <v>166</v>
      </c>
      <c r="C1186" s="3" t="s">
        <v>44</v>
      </c>
      <c r="D1186">
        <v>173</v>
      </c>
      <c r="E1186">
        <v>184</v>
      </c>
      <c r="F1186">
        <v>190</v>
      </c>
    </row>
    <row r="1187" spans="1:6">
      <c r="A1187" s="111" t="s">
        <v>1428</v>
      </c>
      <c r="B1187" s="3" t="s">
        <v>166</v>
      </c>
      <c r="C1187" s="3" t="s">
        <v>266</v>
      </c>
      <c r="D1187">
        <v>134</v>
      </c>
      <c r="E1187">
        <v>96</v>
      </c>
      <c r="F1187">
        <v>120</v>
      </c>
    </row>
    <row r="1188" spans="1:6">
      <c r="A1188" s="111" t="s">
        <v>1429</v>
      </c>
      <c r="B1188" s="3" t="s">
        <v>166</v>
      </c>
      <c r="C1188" s="3" t="s">
        <v>266</v>
      </c>
      <c r="D1188">
        <v>225</v>
      </c>
      <c r="E1188">
        <v>191</v>
      </c>
      <c r="F1188">
        <v>174</v>
      </c>
    </row>
    <row r="1189" spans="1:6">
      <c r="A1189" s="111" t="s">
        <v>1430</v>
      </c>
      <c r="B1189" s="3" t="s">
        <v>274</v>
      </c>
      <c r="C1189" s="3" t="s">
        <v>94</v>
      </c>
      <c r="D1189">
        <v>220</v>
      </c>
      <c r="E1189">
        <v>191</v>
      </c>
      <c r="F1189">
        <v>186</v>
      </c>
    </row>
    <row r="1190" spans="1:6">
      <c r="A1190" s="111" t="s">
        <v>1431</v>
      </c>
      <c r="B1190" s="3" t="s">
        <v>274</v>
      </c>
      <c r="C1190" s="3" t="s">
        <v>97</v>
      </c>
      <c r="D1190">
        <v>238</v>
      </c>
      <c r="E1190">
        <v>157</v>
      </c>
      <c r="F1190">
        <v>186</v>
      </c>
    </row>
    <row r="1191" spans="1:6">
      <c r="A1191" s="111" t="s">
        <v>1432</v>
      </c>
      <c r="B1191" s="3" t="s">
        <v>274</v>
      </c>
      <c r="C1191" s="3" t="s">
        <v>83</v>
      </c>
      <c r="D1191">
        <v>169</v>
      </c>
      <c r="E1191">
        <v>208</v>
      </c>
      <c r="F1191">
        <v>186</v>
      </c>
    </row>
    <row r="1192" spans="1:6">
      <c r="A1192" s="111" t="s">
        <v>1433</v>
      </c>
      <c r="B1192" s="3" t="s">
        <v>166</v>
      </c>
      <c r="C1192" s="3" t="s">
        <v>118</v>
      </c>
      <c r="D1192">
        <v>219</v>
      </c>
      <c r="E1192">
        <v>178</v>
      </c>
      <c r="F1192">
        <v>173</v>
      </c>
    </row>
    <row r="1193" spans="1:6">
      <c r="A1193" s="111" t="s">
        <v>1434</v>
      </c>
      <c r="B1193" s="3" t="s">
        <v>306</v>
      </c>
      <c r="C1193" s="3" t="s">
        <v>44</v>
      </c>
      <c r="D1193">
        <v>250</v>
      </c>
      <c r="E1193">
        <v>215</v>
      </c>
      <c r="F1193">
        <v>207</v>
      </c>
    </row>
    <row r="1194" spans="1:6">
      <c r="A1194" s="111" t="s">
        <v>1435</v>
      </c>
      <c r="B1194" s="3" t="s">
        <v>166</v>
      </c>
      <c r="C1194" s="3" t="s">
        <v>44</v>
      </c>
      <c r="D1194">
        <v>216</v>
      </c>
      <c r="E1194">
        <v>186</v>
      </c>
      <c r="F1194">
        <v>235</v>
      </c>
    </row>
    <row r="1195" spans="1:6">
      <c r="A1195" s="111" t="s">
        <v>1436</v>
      </c>
      <c r="B1195" s="3" t="s">
        <v>100</v>
      </c>
      <c r="C1195" s="3" t="s">
        <v>44</v>
      </c>
      <c r="D1195">
        <v>205</v>
      </c>
      <c r="E1195">
        <v>208</v>
      </c>
      <c r="F1195">
        <v>213</v>
      </c>
    </row>
    <row r="1196" spans="1:6">
      <c r="A1196" s="111" t="s">
        <v>1437</v>
      </c>
      <c r="B1196" s="3" t="s">
        <v>177</v>
      </c>
      <c r="C1196" s="3" t="s">
        <v>44</v>
      </c>
      <c r="D1196">
        <v>235</v>
      </c>
      <c r="E1196">
        <v>165</v>
      </c>
      <c r="F1196">
        <v>245</v>
      </c>
    </row>
    <row r="1197" spans="1:6">
      <c r="A1197" s="111" t="s">
        <v>1438</v>
      </c>
      <c r="B1197" s="3" t="s">
        <v>38</v>
      </c>
      <c r="C1197" s="3" t="s">
        <v>97</v>
      </c>
      <c r="D1197">
        <v>227</v>
      </c>
      <c r="E1197">
        <v>195</v>
      </c>
      <c r="F1197">
        <v>189</v>
      </c>
    </row>
    <row r="1198" spans="1:6">
      <c r="A1198" s="111" t="s">
        <v>1439</v>
      </c>
      <c r="B1198" s="3" t="s">
        <v>306</v>
      </c>
      <c r="C1198" s="3" t="s">
        <v>97</v>
      </c>
      <c r="D1198">
        <v>221</v>
      </c>
      <c r="E1198">
        <v>200</v>
      </c>
      <c r="F1198">
        <v>189</v>
      </c>
    </row>
    <row r="1199" spans="1:6">
      <c r="A1199" s="111" t="s">
        <v>1440</v>
      </c>
      <c r="B1199" s="3" t="s">
        <v>169</v>
      </c>
      <c r="C1199" s="3" t="s">
        <v>118</v>
      </c>
      <c r="D1199">
        <v>126</v>
      </c>
      <c r="E1199">
        <v>165</v>
      </c>
      <c r="F1199">
        <v>207</v>
      </c>
    </row>
    <row r="1200" spans="1:6">
      <c r="A1200" s="111" t="s">
        <v>1441</v>
      </c>
      <c r="B1200" s="3" t="s">
        <v>274</v>
      </c>
      <c r="C1200" s="3" t="s">
        <v>266</v>
      </c>
      <c r="D1200">
        <v>164</v>
      </c>
      <c r="E1200">
        <v>248</v>
      </c>
      <c r="F1200">
        <v>186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攻守數據</vt:lpstr>
      <vt:lpstr>數據</vt:lpstr>
      <vt:lpstr>屬性克制表</vt:lpstr>
      <vt:lpstr>極巨傷害</vt:lpstr>
      <vt:lpstr>能量點</vt:lpstr>
      <vt:lpstr>寶可夢圖鑑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游子寬</dc:creator>
  <cp:lastModifiedBy>子寬 游</cp:lastModifiedBy>
  <dcterms:created xsi:type="dcterms:W3CDTF">2025-05-20T04:34:18Z</dcterms:created>
  <dcterms:modified xsi:type="dcterms:W3CDTF">2026-01-04T15:08:12Z</dcterms:modified>
</cp:coreProperties>
</file>